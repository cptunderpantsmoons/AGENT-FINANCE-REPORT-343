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anaKing\Downloads\"/>
    </mc:Choice>
  </mc:AlternateContent>
  <xr:revisionPtr revIDLastSave="0" documentId="13_ncr:1_{45FA3452-2903-495D-95E3-04E227BE05CA}" xr6:coauthVersionLast="47" xr6:coauthVersionMax="47" xr10:uidLastSave="{00000000-0000-0000-0000-000000000000}"/>
  <bookViews>
    <workbookView xWindow="-120" yWindow="-120" windowWidth="29040" windowHeight="15720" xr2:uid="{B3CB70A0-C35C-4597-AFBA-292745CEA834}"/>
  </bookViews>
  <sheets>
    <sheet name="Consol PL" sheetId="2" r:id="rId1"/>
    <sheet name="Consol BS" sheetId="6" r:id="rId2"/>
    <sheet name="Consol CFS" sheetId="28" r:id="rId3"/>
    <sheet name="IC transaction list" sheetId="13" state="hidden" r:id="rId4"/>
  </sheets>
  <definedNames>
    <definedName name="_xlnm._FilterDatabase" localSheetId="1" hidden="1">'Consol BS'!$B$12:$R$182</definedName>
    <definedName name="_xlnm._FilterDatabase" localSheetId="2" hidden="1">'Consol CFS'!$B$12:$D$180</definedName>
    <definedName name="_xlnm._FilterDatabase" localSheetId="0" hidden="1">'Consol PL'!$B$11:$E$151</definedName>
    <definedName name="_Key1" hidden="1">#REF!</definedName>
    <definedName name="_Order1" hidden="1">255</definedName>
    <definedName name="ActualNumberOfPayments">IFERROR(IF(LoanIsGood,IF(PaymentsPerYear=1,1,MATCH(0.01,End_Bal,-1)+1)),"")</definedName>
    <definedName name="AddWorkpaper" localSheetId="2">INDIRECT(_xll.CurrentCell())</definedName>
    <definedName name="AddWorkpaper">INDIRECT(_xll.CurrentCell())</definedName>
    <definedName name="Aspira_data">#REF!</definedName>
    <definedName name="Aspira_months">#REF!</definedName>
    <definedName name="Aspira_reportmap">#REF!</definedName>
    <definedName name="bedDaysEntity">#REF!</definedName>
    <definedName name="bedDaysFiscalPeriod">#REF!</definedName>
    <definedName name="bedDaysSegVal1">#REF!</definedName>
    <definedName name="bedDaysValue">#REF!</definedName>
    <definedName name="blank">#REF!</definedName>
    <definedName name="budgetAmount">#REF!</definedName>
    <definedName name="budgetCode">#REF!</definedName>
    <definedName name="budgetCodeID">#REF!</definedName>
    <definedName name="budgetEntity">#REF!</definedName>
    <definedName name="budgetFiscalPeriod">#REF!</definedName>
    <definedName name="budgetFiscalYear">#REF!</definedName>
    <definedName name="budgetSegVal1">#REF!</definedName>
    <definedName name="budgetSegVal1NumberFormat">#REF!</definedName>
    <definedName name="CategoryList">OFFSET(CategoryListLarge,1,0,MAX(ROWS(CategoryListLarge)-2,1),1)</definedName>
    <definedName name="CategoryListLarge">#REF!</definedName>
    <definedName name="CCA_data">#REF!</definedName>
    <definedName name="CCA_months">#REF!</definedName>
    <definedName name="CCA_reportmap">#REF!</definedName>
    <definedName name="CCG_data">#REF!</definedName>
    <definedName name="CCG_months">#REF!</definedName>
    <definedName name="CCG_reportmap">#REF!</definedName>
    <definedName name="CCPtyLtd_data">#REF!</definedName>
    <definedName name="CCPtyLtd_months">#REF!</definedName>
    <definedName name="CCPtyLtd_reportmap">#REF!</definedName>
    <definedName name="CCS_data">#REF!</definedName>
    <definedName name="CCS_months">#REF!</definedName>
    <definedName name="CCS_reportmap">#REF!</definedName>
    <definedName name="CCS1_data">#REF!</definedName>
    <definedName name="CCS1_months">#REF!</definedName>
    <definedName name="CCS1_reportmap">#REF!</definedName>
    <definedName name="CCS2_data">#REF!</definedName>
    <definedName name="CCS2_months">#REF!</definedName>
    <definedName name="CCS2_reportmap">#REF!</definedName>
    <definedName name="CCS3_data">#REF!</definedName>
    <definedName name="CCS3_months">#REF!</definedName>
    <definedName name="CCS3_reportmap">#REF!</definedName>
    <definedName name="CIQWBGuid" hidden="1">"2cd8126d-26c3-430c-b7fa-a069e3a1fc62"</definedName>
    <definedName name="Cl_Code">#REF!</definedName>
    <definedName name="Cl_Name">#REF!</definedName>
    <definedName name="ColumnTitle1">#REF!</definedName>
    <definedName name="companyCode">#REF!</definedName>
    <definedName name="ConsolPL_AccCode">#REF!</definedName>
    <definedName name="ConsolPL_data">#REF!</definedName>
    <definedName name="ConsolPL_Headings">#REF!</definedName>
    <definedName name="ConsolPL_Scenario">#REF!</definedName>
    <definedName name="DACCS_data">#REF!</definedName>
    <definedName name="DACCS_months">#REF!</definedName>
    <definedName name="DACCS_reportmap">#REF!</definedName>
    <definedName name="Days_In_Period">184</definedName>
    <definedName name="DeleteWorkpaper" localSheetId="2">INDIRECT(_xll.CurrentCell())</definedName>
    <definedName name="DeleteWorkpaper">INDIRECT(_xll.CurrentCell())</definedName>
    <definedName name="detailAmount">#REF!</definedName>
    <definedName name="detailCompanyCode">#REF!</definedName>
    <definedName name="detailEntity">#REF!</definedName>
    <definedName name="detailFiscalPeriod">#REF!</definedName>
    <definedName name="detailFiscalYear">#REF!</definedName>
    <definedName name="detailSegVal1">#REF!</definedName>
    <definedName name="detailSegVal1NumberFormat">#REF!</definedName>
    <definedName name="DisclaimerText">#REF!</definedName>
    <definedName name="DME_Dirty" hidden="1">"False"</definedName>
    <definedName name="End_Bal">#REF!</definedName>
    <definedName name="Entity">#REF!</definedName>
    <definedName name="ExtraPayments">#REF!</definedName>
    <definedName name="fbt_depreciation">#REF!</definedName>
    <definedName name="fbt_lookup">#REF!</definedName>
    <definedName name="fbt_year">#REF!</definedName>
    <definedName name="Fcst_Account">#REF!</definedName>
    <definedName name="Fcst_data">#REF!</definedName>
    <definedName name="Fcst_months">#REF!</definedName>
    <definedName name="Firm_Preparer">#REF!</definedName>
    <definedName name="Firm_PreparerDate">#REF!</definedName>
    <definedName name="Firm_Reviewer">#REF!</definedName>
    <definedName name="Firm_ReviewerDate">#REF!</definedName>
    <definedName name="Firm_ReviwerDate2">#REF!</definedName>
    <definedName name="fiscalPeriod">#REF!</definedName>
    <definedName name="FiscalYear">#REF!</definedName>
    <definedName name="generror">#REF!</definedName>
    <definedName name="Go_AddWorkpaper" localSheetId="2">INDIRECT(_xll.CurrentCell())</definedName>
    <definedName name="Go_AddWorkpaper">INDIRECT(_xll.CurrentCell())</definedName>
    <definedName name="Go_Chat" localSheetId="2">INDIRECT(_xll.CurrentCell())</definedName>
    <definedName name="Go_Chat">INDIRECT(_xll.CurrentCell())</definedName>
    <definedName name="Go_DeleteWorkpaper" localSheetId="2">INDIRECT(_xll.CurrentCell())</definedName>
    <definedName name="Go_DeleteWorkpaper">INDIRECT(_xll.CurrentCell())</definedName>
    <definedName name="Go_ExpandCollapse" localSheetId="2">INDIRECT(_xll.CurrentCell())</definedName>
    <definedName name="Go_ExpandCollapse">INDIRECT(_xll.CurrentCell())</definedName>
    <definedName name="Go_FollowHyperlink" localSheetId="2">INDIRECT(_xll.CurrentCell())</definedName>
    <definedName name="Go_FollowHyperlink">INDIRECT(_xll.CurrentCell())</definedName>
    <definedName name="Go_Help" localSheetId="2">INDIRECT(_xll.CurrentCell())</definedName>
    <definedName name="Go_Help">INDIRECT(_xll.CurrentCell())</definedName>
    <definedName name="Go_Index" localSheetId="2">INDIRECT(_xll.CurrentCell())</definedName>
    <definedName name="Go_Index">INDIRECT(_xll.CurrentCell())</definedName>
    <definedName name="Go_OpeningBalance" localSheetId="2">INDIRECT(_xll.CurrentCell())</definedName>
    <definedName name="Go_OpeningBalance">INDIRECT(_xll.CurrentCell())</definedName>
    <definedName name="Go_RefreshSummary" localSheetId="2">INDIRECT(_xll.CurrentCell())</definedName>
    <definedName name="Go_RefreshSummary">INDIRECT(_xll.CurrentCell())</definedName>
    <definedName name="Go_StatusLog" localSheetId="2">INDIRECT(_xll.CurrentCell())</definedName>
    <definedName name="Go_StatusLog">INDIRECT(_xll.CurrentCell())</definedName>
    <definedName name="Go_TickBox" localSheetId="2">INDIRECT(_xll.CurrentCell())</definedName>
    <definedName name="Go_TickBox">INDIRECT(_xll.CurrentCell())</definedName>
    <definedName name="InitAct">#REF!</definedName>
    <definedName name="InitFore">#REF!</definedName>
    <definedName name="Interest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43559.2896180556</definedName>
    <definedName name="IQ_QTD" hidden="1">750000</definedName>
    <definedName name="IQ_TODAY" hidden="1">0</definedName>
    <definedName name="IQ_YTDMONTH" hidden="1">130000</definedName>
    <definedName name="LA_data">#REF!</definedName>
    <definedName name="LA_months">#REF!</definedName>
    <definedName name="LA_reportmap">#REF!</definedName>
    <definedName name="LastCol">MATCH(REPT("z",255),#REF!)</definedName>
    <definedName name="LastRow">MATCH(9.99E+307,#REF!)</definedName>
    <definedName name="LenderName">#REF!</definedName>
    <definedName name="ListCFTypes">#REF!</definedName>
    <definedName name="ListCFTypesNum">#REF!</definedName>
    <definedName name="ListCFTypesSht">#REF!</definedName>
    <definedName name="ListCFTypesShtM">#REF!</definedName>
    <definedName name="ListNotifTypes">#REF!</definedName>
    <definedName name="ListNotifTypesNum">#REF!</definedName>
    <definedName name="ListNotifTypesPlur">#REF!</definedName>
    <definedName name="ListRiskTypesNum">#REF!</definedName>
    <definedName name="ListRiskTypesSht">#REF!</definedName>
    <definedName name="ListScen">#REF!</definedName>
    <definedName name="ListScenHNum">#REF!</definedName>
    <definedName name="ListScenNum">#REF!</definedName>
    <definedName name="ListScenRef">#REF!</definedName>
    <definedName name="ListScenType">#REF!</definedName>
    <definedName name="ListScenTypes">#REF!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ki_data">#REF!</definedName>
    <definedName name="Maki_months">#REF!</definedName>
    <definedName name="Maki_reportmap">#REF!</definedName>
    <definedName name="ModelName">#REF!</definedName>
    <definedName name="MTD_DAYS">#REF!</definedName>
    <definedName name="NotifBar">#REF!</definedName>
    <definedName name="NotifBarMsgs">#REF!</definedName>
    <definedName name="NotifBarNum">#REF!</definedName>
    <definedName name="NotifError">#REF!</definedName>
    <definedName name="NotifSens">#REF!</definedName>
    <definedName name="NotifSitNorm">#REF!</definedName>
    <definedName name="NotifWarn">#REF!</definedName>
    <definedName name="NV_data">#REF!</definedName>
    <definedName name="NV_months">#REF!</definedName>
    <definedName name="NV_reportmap">#REF!</definedName>
    <definedName name="PAC_data">#REF!</definedName>
    <definedName name="PAC_months">#REF!</definedName>
    <definedName name="PAC_reportmap">#REF!</definedName>
    <definedName name="PaymentsPerYear">#REF!</definedName>
    <definedName name="PeriodEndDate">#REF!</definedName>
    <definedName name="PH_data">#REF!</definedName>
    <definedName name="PH_months">#REF!</definedName>
    <definedName name="PH_reportmap">#REF!</definedName>
    <definedName name="PL_data">'Consol PL'!$B$11:$E$148</definedName>
    <definedName name="Print_Area_MI">#REF!</definedName>
    <definedName name="PrintArea_SET">OFFSET(#REF!,,,LastRow,LastCol)</definedName>
    <definedName name="PV_data">#REF!</definedName>
    <definedName name="PV_months">#REF!</definedName>
    <definedName name="PV_reportmap">#REF!</definedName>
    <definedName name="repayment_lookup">#REF!</definedName>
    <definedName name="reporting_date">#REF!</definedName>
    <definedName name="reporting_date_PY">#REF!</definedName>
    <definedName name="RowTitleRegion1..E9">#REF!</definedName>
    <definedName name="RowTitleRegion2..I7">#REF!</definedName>
    <definedName name="RowTitleRegion3..E9">#REF!</definedName>
    <definedName name="RowTitleRegion4..H9">#REF!</definedName>
    <definedName name="RULE78">#REF!</definedName>
    <definedName name="ScenActiveHNum">#REF!</definedName>
    <definedName name="ScenActiveNum">#REF!</definedName>
    <definedName name="ScenActiveRefProjNum">#REF!</definedName>
    <definedName name="ScenActiveType">#REF!</definedName>
    <definedName name="ScenActNum" hidden="1">#REF!</definedName>
    <definedName name="ScheduledNumberOfPayments">#REF!</definedName>
    <definedName name="ScheduledPayment">#REF!</definedName>
    <definedName name="Smallbusent">#REF!</definedName>
    <definedName name="Source_PLdata">#REF!</definedName>
    <definedName name="SourceBS_data">#REF!</definedName>
    <definedName name="SourceBS_Headings">#REF!</definedName>
    <definedName name="SourceBS_Reportmapping">#REF!</definedName>
    <definedName name="SourcePL_headings">#REF!</definedName>
    <definedName name="SourcePL_Reportmap">#REF!</definedName>
    <definedName name="StartDate">#REF!</definedName>
    <definedName name="StatusDescriptions">#REF!</definedName>
    <definedName name="statutory_lookup">#REF!</definedName>
    <definedName name="TA_data">#REF!</definedName>
    <definedName name="TA_months">#REF!</definedName>
    <definedName name="TA_reportmap">#REF!</definedName>
    <definedName name="TB_SortOrders" localSheetId="2">INDEX('Consol CFS'!TrialBalanceExact,0,1)</definedName>
    <definedName name="TB_SortOrders">INDEX(TrialBalanceExact,0,1)</definedName>
    <definedName name="TB_StatusOrders" localSheetId="2">INDEX('Consol CFS'!TrialBalanceExact,0,MATCH("StatusOrder",#REF!,0)-COLUMN('Consol CFS'!TrialBalanceExact)+1)</definedName>
    <definedName name="TB_StatusOrders">INDEX(TrialBalanceExact,0,MATCH("StatusOrder",#REF!,0)-COLUMN(TrialBalanceExact)+1)</definedName>
    <definedName name="TB_WPTags" comment="A list of workpapers identified by their sort order and 'level' of 100, for use in Excel function that look at whether or not a workpaper belongs to the current accounts SortOrder" localSheetId="2">INDEX('Consol CFS'!TrialBalanceExact,0,MATCH("WPTag",#REF!,0)-COLUMN('Consol CFS'!TrialBalanceExact)+1)</definedName>
    <definedName name="TB_WPTags" comment="A list of workpapers identified by their sort order and 'level' of 100, for use in Excel function that look at whether or not a workpaper belongs to the current accounts SortOrder">INDEX(TrialBalanceExact,0,MATCH("WPTag",#REF!,0)-COLUMN(TrialBalanceExact)+1)</definedName>
    <definedName name="TD4A_AdjDiv61">#REF!</definedName>
    <definedName name="TD4A_AdjDiv610">#REF!</definedName>
    <definedName name="TD4A_AdjDiv611">#REF!</definedName>
    <definedName name="TD4A_AdjDiv612">#REF!</definedName>
    <definedName name="TD4A_AdjDiv613">#REF!</definedName>
    <definedName name="TD4A_AdjDiv614">#REF!</definedName>
    <definedName name="TD4A_AdjDiv615">#REF!</definedName>
    <definedName name="TD4A_AdjDiv616">#REF!</definedName>
    <definedName name="TD4A_AdjDiv617">#REF!</definedName>
    <definedName name="TD4A_AdjDiv618">#REF!</definedName>
    <definedName name="TD4A_AdjDiv619">#REF!</definedName>
    <definedName name="TD4A_AdjDiv62">#REF!</definedName>
    <definedName name="TD4A_AdjDiv620">#REF!</definedName>
    <definedName name="TD4A_AdjDiv63">#REF!</definedName>
    <definedName name="TD4A_AdjDiv64">#REF!</definedName>
    <definedName name="TD4A_AdjDiv65">#REF!</definedName>
    <definedName name="TD4A_AdjDiv66">#REF!</definedName>
    <definedName name="TD4A_AdjDiv67">#REF!</definedName>
    <definedName name="TD4A_AdjDiv68">#REF!</definedName>
    <definedName name="TD4A_AdjDiv69">#REF!</definedName>
    <definedName name="TD4A_Beneficiary1">#REF!</definedName>
    <definedName name="TD4A_Beneficiary10">#REF!</definedName>
    <definedName name="TD4A_Beneficiary11">#REF!</definedName>
    <definedName name="TD4A_Beneficiary12">#REF!</definedName>
    <definedName name="TD4A_Beneficiary13">#REF!</definedName>
    <definedName name="TD4A_Beneficiary14">#REF!</definedName>
    <definedName name="TD4A_Beneficiary15">#REF!</definedName>
    <definedName name="TD4A_Beneficiary16">#REF!</definedName>
    <definedName name="TD4A_Beneficiary17">#REF!</definedName>
    <definedName name="TD4A_Beneficiary18">#REF!</definedName>
    <definedName name="TD4A_Beneficiary19">#REF!</definedName>
    <definedName name="TD4A_Beneficiary2">#REF!</definedName>
    <definedName name="TD4A_Beneficiary20">#REF!</definedName>
    <definedName name="TD4A_Beneficiary3">#REF!</definedName>
    <definedName name="TD4A_Beneficiary4">#REF!</definedName>
    <definedName name="TD4A_Beneficiary5">#REF!</definedName>
    <definedName name="TD4A_Beneficiary6">#REF!</definedName>
    <definedName name="TD4A_Beneficiary7">#REF!</definedName>
    <definedName name="TD4A_Beneficiary8">#REF!</definedName>
    <definedName name="TD4A_Beneficiary9">#REF!</definedName>
    <definedName name="TD4A_Div6EIncTrust">#REF!</definedName>
    <definedName name="TD4A_Div6ENetInc">#REF!</definedName>
    <definedName name="TD4A_FrankedDiv">#REF!</definedName>
    <definedName name="TD4A_FrankedDivExpenses">#REF!</definedName>
    <definedName name="TD4A_FrankingCredits">#REF!</definedName>
    <definedName name="TD4A_NetCapGain">#REF!</definedName>
    <definedName name="TD4A_NetIncomeTax">#REF!</definedName>
    <definedName name="TD4A_PETrustInc1">#REF!</definedName>
    <definedName name="TD4A_PETrustInc10">#REF!</definedName>
    <definedName name="TD4A_PETrustInc11">#REF!</definedName>
    <definedName name="TD4A_PETrustInc12">#REF!</definedName>
    <definedName name="TD4A_PETrustInc13">#REF!</definedName>
    <definedName name="TD4A_PETrustInc14">#REF!</definedName>
    <definedName name="TD4A_PETrustInc15">#REF!</definedName>
    <definedName name="TD4A_PETrustInc16">#REF!</definedName>
    <definedName name="TD4A_PETrustInc17">#REF!</definedName>
    <definedName name="TD4A_PETrustInc18">#REF!</definedName>
    <definedName name="TD4A_PETrustInc19">#REF!</definedName>
    <definedName name="TD4A_PETrustInc2">#REF!</definedName>
    <definedName name="TD4A_PETrustInc20">#REF!</definedName>
    <definedName name="TD4A_PETrustInc3">#REF!</definedName>
    <definedName name="TD4A_PETrustInc4">#REF!</definedName>
    <definedName name="TD4A_PETrustInc5">#REF!</definedName>
    <definedName name="TD4A_PETrustInc6">#REF!</definedName>
    <definedName name="TD4A_PETrustInc7">#REF!</definedName>
    <definedName name="TD4A_PETrustInc8">#REF!</definedName>
    <definedName name="TD4A_PETrustInc9">#REF!</definedName>
    <definedName name="TD4A_TotalFrankedDist1">#REF!</definedName>
    <definedName name="TD4A_TotalFrankedDist2">#REF!</definedName>
    <definedName name="Tm_WorksheetTitle">#REF!</definedName>
    <definedName name="TotalEarlyPayments">SUM(#REF!)</definedName>
    <definedName name="TotalInterest">SUM(#REF!)</definedName>
    <definedName name="trialBalance12MnthSegVal1">#REF!</definedName>
    <definedName name="trialBalance12MnthSegVal1NumberFormat">#REF!</definedName>
    <definedName name="trialBalance12MnthSegVal2">#REF!</definedName>
    <definedName name="trialBalance12MnthSegVal3">#REF!</definedName>
    <definedName name="trialBalance12MnthTBApr">#REF!</definedName>
    <definedName name="trialBalance12MnthTBAug">#REF!</definedName>
    <definedName name="trialBalance12MnthTBDec">#REF!</definedName>
    <definedName name="trialBalance12MnthTBEntity">#REF!</definedName>
    <definedName name="trialBalance12MnthTBFeb">#REF!</definedName>
    <definedName name="trialBalance12MnthTBJan">#REF!</definedName>
    <definedName name="trialBalance12MnthTBJul">#REF!</definedName>
    <definedName name="trialBalance12MnthTBJun">#REF!</definedName>
    <definedName name="trialBalance12MnthTBMar">#REF!</definedName>
    <definedName name="trialBalance12MnthTBMay">#REF!</definedName>
    <definedName name="trialBalance12MnthTBNov">#REF!</definedName>
    <definedName name="trialBalance12MnthTBOct">#REF!</definedName>
    <definedName name="trialBalance12MnthTBSep">#REF!</definedName>
    <definedName name="trialBalanceClosingBal">#REF!</definedName>
    <definedName name="trialBalanceEntity">#REF!</definedName>
    <definedName name="TrialBalanceExact" localSheetId="2">OFFSET(TrialBalance,1,1,ROWS(TrialBalance)-2,COLUMNS(TrialBalance)-2)</definedName>
    <definedName name="TrialBalanceExact">OFFSET(TrialBalance,1,1,ROWS(TrialBalance)-2,COLUMNS(TrialBalance)-2)</definedName>
    <definedName name="trialBalanceMthBal">#REF!</definedName>
    <definedName name="trialBalanceOpeningBal">#REF!</definedName>
    <definedName name="trialBalancePYClosingBal">#REF!</definedName>
    <definedName name="trialBalancePYSegVal1">#REF!</definedName>
    <definedName name="trialBalanceSegVal1">#REF!</definedName>
    <definedName name="trialBalanceSegVal1NumFormat">#REF!</definedName>
    <definedName name="trialBalanceSegVal2">#REF!</definedName>
    <definedName name="trialBalanceSegVal3">#REF!</definedName>
    <definedName name="TypePriority">#REF!</definedName>
    <definedName name="UnitDate">#REF!</definedName>
    <definedName name="UnitDays">#REF!</definedName>
    <definedName name="UnitDescrip">#REF!</definedName>
    <definedName name="UnitDivds">#REF!</definedName>
    <definedName name="UnitDollar">#REF!</definedName>
    <definedName name="UnitFlag">#REF!</definedName>
    <definedName name="UnitLabel">#REF!</definedName>
    <definedName name="UnitMillions">#REF!</definedName>
    <definedName name="UnitNum">#REF!</definedName>
    <definedName name="UnitPercentage">#REF!</definedName>
    <definedName name="UnitRnding">#REF!</definedName>
    <definedName name="UnitSelected">#REF!</definedName>
    <definedName name="UnitSelectedSign">#REF!</definedName>
    <definedName name="UnitSelection">#REF!</definedName>
    <definedName name="UserName">#REF!</definedName>
    <definedName name="Ver">#REF!</definedName>
    <definedName name="VTM_1" hidden="1">#REF!,#REF!,#REF!,#REF!,#REF!,#REF!,#REF!,#REF!,#REF!,#REF!,#REF!,#REF!</definedName>
    <definedName name="VTM_3" hidden="1">#REF!,#REF!,#REF!,#REF!,#REF!,#REF!,#REF!,#REF!,#REF!,#REF!,#REF!,#REF!</definedName>
    <definedName name="VTM_5" hidden="1">#REF!,#REF!,#REF!,#REF!,#REF!,#REF!,#REF!</definedName>
    <definedName name="VTM_7" hidden="1">#REF!,#REF!,#REF!,#REF!,#REF!,#REF!</definedName>
    <definedName name="w">#REF!</definedName>
    <definedName name="YTD_DAY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7" i="6" l="1"/>
  <c r="R25" i="6"/>
  <c r="R139" i="6"/>
  <c r="R184" i="6"/>
  <c r="P184" i="6"/>
  <c r="O184" i="6"/>
  <c r="N184" i="6"/>
  <c r="M184" i="6"/>
  <c r="L184" i="6"/>
  <c r="K184" i="6"/>
  <c r="J184" i="6"/>
  <c r="I184" i="6"/>
  <c r="H184" i="6"/>
  <c r="Q184" i="6" l="1"/>
  <c r="C149" i="6"/>
  <c r="C148" i="6"/>
  <c r="C141" i="28"/>
  <c r="C142" i="28"/>
  <c r="C140" i="28"/>
  <c r="C139" i="6"/>
  <c r="C118" i="28"/>
  <c r="C53" i="28" l="1"/>
  <c r="C91" i="28"/>
  <c r="C75" i="28"/>
  <c r="C30" i="28"/>
  <c r="C35" i="28"/>
  <c r="C95" i="28"/>
  <c r="C60" i="28"/>
  <c r="C34" i="28"/>
  <c r="C54" i="28"/>
  <c r="C87" i="28"/>
  <c r="C81" i="28"/>
  <c r="C146" i="28"/>
  <c r="C80" i="28"/>
  <c r="C66" i="28"/>
  <c r="C100" i="28"/>
  <c r="C38" i="28"/>
  <c r="C90" i="28"/>
  <c r="C82" i="28"/>
  <c r="C31" i="28"/>
  <c r="C39" i="28"/>
  <c r="C51" i="28"/>
  <c r="C36" i="28"/>
  <c r="C73" i="28"/>
  <c r="C69" i="28"/>
  <c r="C77" i="28"/>
  <c r="C92" i="28"/>
  <c r="C37" i="28"/>
  <c r="C94" i="28"/>
  <c r="C74" i="28"/>
  <c r="C99" i="28"/>
  <c r="C103" i="28"/>
  <c r="C72" i="28"/>
  <c r="C78" i="28"/>
  <c r="C97" i="28"/>
  <c r="C89" i="28"/>
  <c r="C50" i="28"/>
  <c r="C56" i="28"/>
  <c r="C70" i="28"/>
  <c r="C96" i="28"/>
  <c r="C67" i="28"/>
  <c r="C32" i="28"/>
  <c r="C49" i="28"/>
  <c r="C71" i="28"/>
  <c r="C76" i="28"/>
  <c r="C68" i="28"/>
  <c r="C86" i="28"/>
  <c r="C102" i="28"/>
  <c r="C114" i="28"/>
  <c r="C123" i="28"/>
  <c r="C150" i="28"/>
  <c r="C42" i="28"/>
  <c r="C143" i="28"/>
  <c r="C136" i="28"/>
  <c r="C113" i="28"/>
  <c r="C84" i="28"/>
  <c r="C126" i="28"/>
  <c r="C46" i="28"/>
  <c r="C41" i="28"/>
  <c r="C109" i="28"/>
  <c r="C110" i="28"/>
  <c r="C135" i="28"/>
  <c r="C44" i="28"/>
  <c r="C108" i="28"/>
  <c r="C24" i="28"/>
  <c r="C131" i="28"/>
  <c r="C139" i="28"/>
  <c r="C117" i="28"/>
  <c r="C158" i="28"/>
  <c r="C164" i="28"/>
  <c r="C111" i="28"/>
  <c r="C130" i="28"/>
  <c r="C116" i="28"/>
  <c r="C137" i="28"/>
  <c r="C157" i="28"/>
  <c r="C171" i="28"/>
  <c r="C14" i="28"/>
  <c r="C45" i="28"/>
  <c r="C122" i="28"/>
  <c r="C144" i="28"/>
  <c r="C112" i="28"/>
  <c r="C165" i="28"/>
  <c r="C174" i="28"/>
  <c r="C175" i="28"/>
  <c r="C47" i="28"/>
  <c r="C127" i="28"/>
  <c r="C19" i="28"/>
  <c r="C23" i="28"/>
  <c r="C124" i="28"/>
  <c r="C170" i="28"/>
  <c r="C18" i="28"/>
  <c r="C172" i="28"/>
  <c r="C43" i="28"/>
  <c r="C125" i="28"/>
  <c r="C128" i="28"/>
  <c r="C168" i="28"/>
  <c r="C152" i="28"/>
  <c r="C160" i="28"/>
  <c r="C176" i="28"/>
  <c r="C119" i="28"/>
  <c r="C167" i="28"/>
  <c r="C149" i="28"/>
  <c r="C134" i="28" l="1"/>
  <c r="C107" i="28"/>
  <c r="C121" i="28"/>
  <c r="C65" i="28"/>
  <c r="C148" i="28"/>
  <c r="C156" i="28"/>
  <c r="C147" i="6" l="1"/>
  <c r="C121" i="2"/>
  <c r="B7" i="28" l="1"/>
  <c r="B8" i="28" l="1"/>
  <c r="C140" i="6" l="1"/>
  <c r="C20" i="6"/>
  <c r="C94" i="6"/>
  <c r="C150" i="6"/>
  <c r="C23" i="6"/>
  <c r="C122" i="2"/>
  <c r="C65" i="2"/>
  <c r="Q162" i="6"/>
  <c r="C65" i="6" l="1"/>
  <c r="C24" i="6"/>
  <c r="C30" i="6"/>
  <c r="C137" i="6"/>
  <c r="C160" i="6"/>
  <c r="P162" i="6"/>
  <c r="P182" i="6" s="1"/>
  <c r="C111" i="6"/>
  <c r="C123" i="6"/>
  <c r="C135" i="6"/>
  <c r="C105" i="6"/>
  <c r="C19" i="6"/>
  <c r="C176" i="6"/>
  <c r="C171" i="6"/>
  <c r="C92" i="6"/>
  <c r="C40" i="6"/>
  <c r="C74" i="6"/>
  <c r="C63" i="6"/>
  <c r="C48" i="6"/>
  <c r="C142" i="6"/>
  <c r="C42" i="6"/>
  <c r="C75" i="6"/>
  <c r="C26" i="6"/>
  <c r="C134" i="6"/>
  <c r="C126" i="6"/>
  <c r="C25" i="6"/>
  <c r="C116" i="6"/>
  <c r="C152" i="6"/>
  <c r="C58" i="6"/>
  <c r="C61" i="6"/>
  <c r="C98" i="6"/>
  <c r="C153" i="6"/>
  <c r="C180" i="6"/>
  <c r="C64" i="6"/>
  <c r="C39" i="6"/>
  <c r="C145" i="6"/>
  <c r="C38" i="6"/>
  <c r="K162" i="6"/>
  <c r="K182" i="6" s="1"/>
  <c r="C73" i="6"/>
  <c r="C124" i="6"/>
  <c r="C173" i="6"/>
  <c r="C44" i="6"/>
  <c r="C27" i="6"/>
  <c r="C146" i="6"/>
  <c r="C35" i="6"/>
  <c r="C31" i="6"/>
  <c r="C177" i="6"/>
  <c r="C59" i="6"/>
  <c r="L162" i="6"/>
  <c r="L182" i="6" s="1"/>
  <c r="C175" i="6"/>
  <c r="C21" i="6"/>
  <c r="R162" i="6"/>
  <c r="R182" i="6" s="1"/>
  <c r="C158" i="6"/>
  <c r="C109" i="6"/>
  <c r="C52" i="6"/>
  <c r="C100" i="6"/>
  <c r="C34" i="6"/>
  <c r="C17" i="6"/>
  <c r="C82" i="6"/>
  <c r="C172" i="6"/>
  <c r="C28" i="6"/>
  <c r="C106" i="6"/>
  <c r="C96" i="6"/>
  <c r="C117" i="6"/>
  <c r="C68" i="6"/>
  <c r="C95" i="6"/>
  <c r="C54" i="6"/>
  <c r="C130" i="6"/>
  <c r="C167" i="6"/>
  <c r="C16" i="6"/>
  <c r="C97" i="6"/>
  <c r="C156" i="6"/>
  <c r="M162" i="6"/>
  <c r="M182" i="6" s="1"/>
  <c r="C108" i="6"/>
  <c r="C112" i="6"/>
  <c r="C56" i="6"/>
  <c r="C168" i="6"/>
  <c r="C119" i="6"/>
  <c r="C80" i="6"/>
  <c r="C120" i="6"/>
  <c r="O162" i="6"/>
  <c r="O182" i="6" s="1"/>
  <c r="C66" i="6"/>
  <c r="C49" i="6"/>
  <c r="C62" i="6"/>
  <c r="C114" i="6"/>
  <c r="C83" i="6"/>
  <c r="C169" i="6"/>
  <c r="C69" i="6"/>
  <c r="C70" i="6"/>
  <c r="C115" i="6"/>
  <c r="H162" i="6"/>
  <c r="H182" i="6" s="1"/>
  <c r="C78" i="6"/>
  <c r="C32" i="6"/>
  <c r="Q182" i="6"/>
  <c r="C103" i="6"/>
  <c r="C55" i="6"/>
  <c r="J162" i="6"/>
  <c r="J182" i="6" s="1"/>
  <c r="N162" i="6"/>
  <c r="N182" i="6" s="1"/>
  <c r="C155" i="6"/>
  <c r="C104" i="6"/>
  <c r="C36" i="6"/>
  <c r="C60" i="6"/>
  <c r="C143" i="6"/>
  <c r="C86" i="6"/>
  <c r="G162" i="6"/>
  <c r="G182" i="6" s="1"/>
  <c r="I162" i="6"/>
  <c r="I182" i="6" s="1"/>
  <c r="C122" i="6"/>
  <c r="C77" i="6"/>
  <c r="C138" i="6"/>
  <c r="C101" i="6"/>
  <c r="C57" i="6"/>
  <c r="C113" i="6"/>
  <c r="C93" i="6"/>
  <c r="C72" i="6"/>
  <c r="C107" i="6"/>
  <c r="C51" i="6"/>
  <c r="C127" i="6"/>
  <c r="F162" i="6"/>
  <c r="C88" i="6"/>
  <c r="C79" i="6"/>
  <c r="C36" i="2"/>
  <c r="C67" i="2"/>
  <c r="C44" i="2"/>
  <c r="C114" i="2"/>
  <c r="C83" i="2"/>
  <c r="C85" i="2"/>
  <c r="C97" i="2"/>
  <c r="C72" i="2"/>
  <c r="C49" i="2"/>
  <c r="C62" i="2"/>
  <c r="C89" i="2"/>
  <c r="C132" i="2"/>
  <c r="C107" i="2"/>
  <c r="C81" i="2"/>
  <c r="C103" i="2"/>
  <c r="C61" i="2"/>
  <c r="C96" i="2"/>
  <c r="C24" i="2"/>
  <c r="C37" i="2"/>
  <c r="C119" i="2"/>
  <c r="C106" i="2"/>
  <c r="C23" i="2"/>
  <c r="C98" i="2"/>
  <c r="C90" i="2"/>
  <c r="C87" i="2"/>
  <c r="C25" i="2"/>
  <c r="C73" i="2"/>
  <c r="C74" i="2"/>
  <c r="C64" i="2"/>
  <c r="C91" i="2"/>
  <c r="C88" i="2"/>
  <c r="C75" i="2"/>
  <c r="C52" i="2"/>
  <c r="C105" i="2"/>
  <c r="C86" i="2"/>
  <c r="C131" i="2"/>
  <c r="C48" i="2"/>
  <c r="C92" i="2"/>
  <c r="C82" i="2"/>
  <c r="C50" i="2"/>
  <c r="C28" i="2"/>
  <c r="C53" i="2"/>
  <c r="C112" i="2"/>
  <c r="C29" i="2"/>
  <c r="C54" i="2"/>
  <c r="C99" i="2"/>
  <c r="C94" i="2"/>
  <c r="C102" i="2"/>
  <c r="C113" i="2"/>
  <c r="C63" i="2"/>
  <c r="C69" i="2"/>
  <c r="C68" i="2"/>
  <c r="C93" i="2"/>
  <c r="C66" i="2"/>
  <c r="C45" i="2"/>
  <c r="C30" i="2"/>
  <c r="C116" i="2"/>
  <c r="C70" i="2"/>
  <c r="C21" i="2"/>
  <c r="C115" i="2"/>
  <c r="C95" i="2"/>
  <c r="C56" i="2"/>
  <c r="C124" i="2"/>
  <c r="C101" i="2"/>
  <c r="C118" i="2"/>
  <c r="C117" i="2"/>
  <c r="C130" i="2"/>
  <c r="C26" i="2"/>
  <c r="C120" i="2"/>
  <c r="C104" i="2"/>
  <c r="C60" i="2"/>
  <c r="C123" i="2"/>
  <c r="C59" i="2"/>
  <c r="C20" i="2"/>
  <c r="C110" i="2"/>
  <c r="C129" i="2"/>
  <c r="C71" i="2"/>
  <c r="C100" i="2"/>
  <c r="C108" i="2"/>
  <c r="C51" i="2"/>
  <c r="C27" i="2"/>
  <c r="C84" i="2"/>
  <c r="C22" i="2"/>
  <c r="C43" i="2"/>
  <c r="C109" i="2"/>
  <c r="C16" i="2" l="1"/>
  <c r="C15" i="2"/>
  <c r="C162" i="6"/>
  <c r="F182" i="6"/>
  <c r="C179" i="28" l="1"/>
  <c r="C14" i="2" l="1"/>
</calcChain>
</file>

<file path=xl/sharedStrings.xml><?xml version="1.0" encoding="utf-8"?>
<sst xmlns="http://schemas.openxmlformats.org/spreadsheetml/2006/main" count="582" uniqueCount="301">
  <si>
    <t>Actual</t>
  </si>
  <si>
    <t>YTD</t>
  </si>
  <si>
    <t>Maki</t>
  </si>
  <si>
    <t>AUD</t>
  </si>
  <si>
    <t>Account</t>
  </si>
  <si>
    <t>Show/Hide</t>
  </si>
  <si>
    <t>ACCU Creation &amp; Trading</t>
  </si>
  <si>
    <t>r</t>
  </si>
  <si>
    <t>Cost of Goods Sold</t>
  </si>
  <si>
    <t>c</t>
  </si>
  <si>
    <t>Movement in Trading</t>
  </si>
  <si>
    <t>Sales Livestock</t>
  </si>
  <si>
    <t>Cost of Goods Sold Livestock</t>
  </si>
  <si>
    <t>Other Revenue</t>
  </si>
  <si>
    <t>General Operating Expenses</t>
  </si>
  <si>
    <t>Current Assets</t>
  </si>
  <si>
    <t>Non-Current Assets</t>
  </si>
  <si>
    <t>Current Liabilities</t>
  </si>
  <si>
    <t>Non Current Liabilities</t>
  </si>
  <si>
    <t>Net Assets</t>
  </si>
  <si>
    <t>Equity</t>
  </si>
  <si>
    <t>check</t>
  </si>
  <si>
    <t>Adjustments for non cash items</t>
  </si>
  <si>
    <t>PL</t>
  </si>
  <si>
    <t>Cash Flow Before Interest and Tax</t>
  </si>
  <si>
    <t>Cash Flow before changes in Working Capital</t>
  </si>
  <si>
    <t>Changes in Working Capital</t>
  </si>
  <si>
    <t>Cash Flow from Operations</t>
  </si>
  <si>
    <t>Cash Flow from Investing Activities</t>
  </si>
  <si>
    <t>Capital (Additions)/Disposals</t>
  </si>
  <si>
    <t>Cash Flow from Financing Activities</t>
  </si>
  <si>
    <t>Borrowings</t>
  </si>
  <si>
    <t>Provisions</t>
  </si>
  <si>
    <t>Financial Liabilities</t>
  </si>
  <si>
    <t>Lease Liabilities</t>
  </si>
  <si>
    <t>Tax</t>
  </si>
  <si>
    <t>Net Cash Flow</t>
  </si>
  <si>
    <t>Closing Cash Balance</t>
  </si>
  <si>
    <t>ACCU closing stock balance</t>
  </si>
  <si>
    <t>Total Cash and Equivalents</t>
  </si>
  <si>
    <t>Cash and Equivalents_Balance sheet</t>
  </si>
  <si>
    <t>Party 1</t>
  </si>
  <si>
    <t>Party 2</t>
  </si>
  <si>
    <t>Transaction</t>
  </si>
  <si>
    <t>Stage 3</t>
  </si>
  <si>
    <t>79524 - Rental Income</t>
  </si>
  <si>
    <t>CCG</t>
  </si>
  <si>
    <t>Rental income (interest) charged to CCG</t>
  </si>
  <si>
    <t>60036 - Carbon Project Costs - General. SFM</t>
  </si>
  <si>
    <t>Paniri NQ</t>
  </si>
  <si>
    <t>Carbon project costs recharge</t>
  </si>
  <si>
    <t>Apr-25</t>
  </si>
  <si>
    <t>Total prior year adjustments</t>
  </si>
  <si>
    <t>Project Main</t>
  </si>
  <si>
    <t>IC Segment Main</t>
  </si>
  <si>
    <t>Division Main</t>
  </si>
  <si>
    <t>Oct-24</t>
  </si>
  <si>
    <t>Jun-25</t>
  </si>
  <si>
    <t>Aug-24</t>
  </si>
  <si>
    <t>Feb-25</t>
  </si>
  <si>
    <t>Jan-25</t>
  </si>
  <si>
    <t>Mar-25</t>
  </si>
  <si>
    <t>Sep-24</t>
  </si>
  <si>
    <t>Jul-24</t>
  </si>
  <si>
    <t>May-25</t>
  </si>
  <si>
    <t>Nov-24</t>
  </si>
  <si>
    <t>Dec-24</t>
  </si>
  <si>
    <t>Deferred Tax Expense/(Income)</t>
  </si>
  <si>
    <t>Gain/(Loss) on sale of investments</t>
  </si>
  <si>
    <t>Total Recruitment Costs</t>
  </si>
  <si>
    <t>Training Expenses</t>
  </si>
  <si>
    <t>Cost of Goods Sold - Livestock and Farming</t>
  </si>
  <si>
    <t>Payroll Tax</t>
  </si>
  <si>
    <t>Agistment Income</t>
  </si>
  <si>
    <t>Property Management</t>
  </si>
  <si>
    <t>Travel Expense</t>
  </si>
  <si>
    <t>Motor Vehicle Operating Costs</t>
  </si>
  <si>
    <t>Net Repo Position</t>
  </si>
  <si>
    <t>Grant Income and Rebates</t>
  </si>
  <si>
    <t>Dividends Paid</t>
  </si>
  <si>
    <t>Net Profit/(Loss) After Derivatives, Debt Forgiveness and Before Dividends</t>
  </si>
  <si>
    <t>AASB 16 Rent Expense</t>
  </si>
  <si>
    <t>Agri Expenses</t>
  </si>
  <si>
    <t>Rates</t>
  </si>
  <si>
    <t>Rental Income</t>
  </si>
  <si>
    <t>Payments to Principals</t>
  </si>
  <si>
    <t>Commissions and Fees - Cattle Sales</t>
  </si>
  <si>
    <t>Profit on Sale of Non-Current Asset</t>
  </si>
  <si>
    <t>Cattle Freight &amp; Cartage</t>
  </si>
  <si>
    <t>Opening Stock</t>
  </si>
  <si>
    <t>Consulting Income</t>
  </si>
  <si>
    <t>Superannuation</t>
  </si>
  <si>
    <t>Income Tax Expense / (Benefit)</t>
  </si>
  <si>
    <t>Marketing</t>
  </si>
  <si>
    <t>ACCU Cost of Goods Sold</t>
  </si>
  <si>
    <t>Agistment fee</t>
  </si>
  <si>
    <t>Bad Debts</t>
  </si>
  <si>
    <t>Net Profit/(Loss) After Tax</t>
  </si>
  <si>
    <t>Lease Income</t>
  </si>
  <si>
    <t>Insurance - General</t>
  </si>
  <si>
    <t>Entertainment</t>
  </si>
  <si>
    <t>Utilities</t>
  </si>
  <si>
    <t>General Expenses</t>
  </si>
  <si>
    <t>Contract Services</t>
  </si>
  <si>
    <t>ACCU Gross Margin</t>
  </si>
  <si>
    <t>Net Stock Movement</t>
  </si>
  <si>
    <t>Livestock Gross Margin</t>
  </si>
  <si>
    <t>Sales - Livestock and Farming</t>
  </si>
  <si>
    <t>Change in ACCU inventory Valuation</t>
  </si>
  <si>
    <t>Net Rent Expense</t>
  </si>
  <si>
    <t>Depreciation &amp; Amortisation</t>
  </si>
  <si>
    <t>Realised and Unrealised Currency Gains/Losses</t>
  </si>
  <si>
    <t>Land Tax</t>
  </si>
  <si>
    <t>Insurance - Property &amp; Vehicles</t>
  </si>
  <si>
    <t>Net Movement in Trading</t>
  </si>
  <si>
    <t>Grant Income</t>
  </si>
  <si>
    <t>Filing Fees</t>
  </si>
  <si>
    <t>Grant Activity Costs</t>
  </si>
  <si>
    <t>Rent Expense</t>
  </si>
  <si>
    <t>Salary &amp; Wages</t>
  </si>
  <si>
    <t>Movement in Derivatives</t>
  </si>
  <si>
    <t>Net Stock Movement - Livestock</t>
  </si>
  <si>
    <t>Computer expenses</t>
  </si>
  <si>
    <t>Total Other Revenue</t>
  </si>
  <si>
    <t>Agricultural Costs - Group Recharged</t>
  </si>
  <si>
    <t>Fines &amp; Penalties</t>
  </si>
  <si>
    <t>Cost of Goods - Exit Fee</t>
  </si>
  <si>
    <t>Debt Forgiveness</t>
  </si>
  <si>
    <t>Farming Sales</t>
  </si>
  <si>
    <t>Movement in Trading Prepayments</t>
  </si>
  <si>
    <t>Total Revenue</t>
  </si>
  <si>
    <t>Carbon Project Costs</t>
  </si>
  <si>
    <t>Other Expenses</t>
  </si>
  <si>
    <t>Interest</t>
  </si>
  <si>
    <t>Option Fees received (Capital)</t>
  </si>
  <si>
    <t>Fuel Tax Credit Rebate</t>
  </si>
  <si>
    <t>MTD</t>
  </si>
  <si>
    <t>Total ACCU/Trading Gross Margin</t>
  </si>
  <si>
    <t>Insurance Rebates</t>
  </si>
  <si>
    <t>Net Profit/(Loss) After Dividends Paid</t>
  </si>
  <si>
    <t>Carbon Project Income</t>
  </si>
  <si>
    <t>Cost of Goods - Brokerage Fees</t>
  </si>
  <si>
    <t>FV Gain/Loss on Initial Recognition of Livestock</t>
  </si>
  <si>
    <t>Net Profit/(Loss) Before Tax</t>
  </si>
  <si>
    <t>Other Trade Sales</t>
  </si>
  <si>
    <t>Sales - Livestock</t>
  </si>
  <si>
    <t>Closing Stock</t>
  </si>
  <si>
    <t>Accounting &amp; Audit Fees</t>
  </si>
  <si>
    <t>Consultancy Fees</t>
  </si>
  <si>
    <t>Cost of Goods - Internal</t>
  </si>
  <si>
    <t>Cost of Sold Livestock</t>
  </si>
  <si>
    <t>EBITDA</t>
  </si>
  <si>
    <t>Research &amp; Development</t>
  </si>
  <si>
    <t>Office Supplies</t>
  </si>
  <si>
    <t>FV Gain/Loss on Re-measurement of Livestock</t>
  </si>
  <si>
    <t>Movement in Trading IRIA</t>
  </si>
  <si>
    <t>Repo Sales- External</t>
  </si>
  <si>
    <t>Legal Fees</t>
  </si>
  <si>
    <t>Licences and Registrations</t>
  </si>
  <si>
    <t>Advertising &amp; Promotion</t>
  </si>
  <si>
    <t>Subscriptions and Memberships</t>
  </si>
  <si>
    <t>Repo Cost of Goods - External</t>
  </si>
  <si>
    <t>Donations</t>
  </si>
  <si>
    <t>Cost of Goods - External</t>
  </si>
  <si>
    <t>Trade Sales - Internal</t>
  </si>
  <si>
    <t>Distribution Received</t>
  </si>
  <si>
    <t>Income from Costs Re-charged to Group</t>
  </si>
  <si>
    <t>Repairs &amp; Maintenance</t>
  </si>
  <si>
    <t>Telephone Expenses</t>
  </si>
  <si>
    <t>Phone Allowance</t>
  </si>
  <si>
    <t>Bank Service Charges</t>
  </si>
  <si>
    <t>Annual Leave Expense</t>
  </si>
  <si>
    <t>Trade Sales - External</t>
  </si>
  <si>
    <t>Interest Income</t>
  </si>
  <si>
    <t>Deferred Tax Liability</t>
  </si>
  <si>
    <t>Lease  Liability (NCL)</t>
  </si>
  <si>
    <t>Income Received in Advance (NCL)</t>
  </si>
  <si>
    <t>Loan (Others) - Non current</t>
  </si>
  <si>
    <t>Lease  Liability - Current</t>
  </si>
  <si>
    <t>Financial Liabilities (NCL)</t>
  </si>
  <si>
    <t>Deferred Revenue</t>
  </si>
  <si>
    <t>Plant and Equipment</t>
  </si>
  <si>
    <t>Total Financial Assets (CA)</t>
  </si>
  <si>
    <t>Project Rights (CA)</t>
  </si>
  <si>
    <t>Lease  Liability (CL)</t>
  </si>
  <si>
    <t>Bank Loans Secured (NCL)</t>
  </si>
  <si>
    <t>Units Issued (Equity)</t>
  </si>
  <si>
    <t>Units Issued (NCL)</t>
  </si>
  <si>
    <t>Project Rights (NCA)</t>
  </si>
  <si>
    <t>Trade and Other receivables</t>
  </si>
  <si>
    <t>Other Current Assets (CA)</t>
  </si>
  <si>
    <t>Bank loan secured (CL)</t>
  </si>
  <si>
    <t>Plant and Equipment (CA)</t>
  </si>
  <si>
    <t>Other Current Assets</t>
  </si>
  <si>
    <t>Deferred Tax Liability (NCL)</t>
  </si>
  <si>
    <t>Total Financial Assets (NCA)</t>
  </si>
  <si>
    <t>Lease  Liability - Non-Current</t>
  </si>
  <si>
    <t>Cash at Bank</t>
  </si>
  <si>
    <t>Derivatives at Fair Value NCL</t>
  </si>
  <si>
    <t>Jun-24</t>
  </si>
  <si>
    <t>Office Equipment</t>
  </si>
  <si>
    <t>Bank Revaluations</t>
  </si>
  <si>
    <t>Asset</t>
  </si>
  <si>
    <t>Provision for Superannuation Payable</t>
  </si>
  <si>
    <t>Asset Revaluation Reserve</t>
  </si>
  <si>
    <t>Prepayments</t>
  </si>
  <si>
    <t>Loan (Others) Current</t>
  </si>
  <si>
    <t>Trade Payables - Due to related parties</t>
  </si>
  <si>
    <t>Accrued Expenses</t>
  </si>
  <si>
    <t>Current Year (Profit)/Loss</t>
  </si>
  <si>
    <t>Cash and Cash Equivalents</t>
  </si>
  <si>
    <t>Hire Purchase</t>
  </si>
  <si>
    <t>Unexpired Interest - Current</t>
  </si>
  <si>
    <t>Deposits Held</t>
  </si>
  <si>
    <t>Accumulated Depreciation Computer Equipment</t>
  </si>
  <si>
    <t>Deferred Tax Asset (CA)</t>
  </si>
  <si>
    <t>Reserves</t>
  </si>
  <si>
    <t>Retained Earnings</t>
  </si>
  <si>
    <t>Provision for Annual Leave</t>
  </si>
  <si>
    <t>Investments in Equity Instruments</t>
  </si>
  <si>
    <t>Borrowing costs incurred</t>
  </si>
  <si>
    <t>Revaluation of Land &amp; Building</t>
  </si>
  <si>
    <t>Related Entity Loans (NCL)</t>
  </si>
  <si>
    <t>Provision for Bad Debts</t>
  </si>
  <si>
    <t>Borrowings (CL)</t>
  </si>
  <si>
    <t>Trade and Other Payables</t>
  </si>
  <si>
    <t>Deferred Tax (CA)</t>
  </si>
  <si>
    <t>Unexpired Interest -Non Current</t>
  </si>
  <si>
    <t>Inventories - Consumables</t>
  </si>
  <si>
    <t>Trade Payables - Due to other parties</t>
  </si>
  <si>
    <t>Issued Equity</t>
  </si>
  <si>
    <t>Other Payables</t>
  </si>
  <si>
    <t>Financial Assets</t>
  </si>
  <si>
    <t>Issued Equity Capital</t>
  </si>
  <si>
    <t>Deposits</t>
  </si>
  <si>
    <t>ATO Integrated Client Account</t>
  </si>
  <si>
    <t>Motor Vehicles</t>
  </si>
  <si>
    <t>Derivatives at Fair Value (CL)</t>
  </si>
  <si>
    <t>FBT Payable</t>
  </si>
  <si>
    <t>Provision for Payroll Tax</t>
  </si>
  <si>
    <t>Cash on Hand</t>
  </si>
  <si>
    <t>Amortisation on Project rights</t>
  </si>
  <si>
    <t>Dividends Payable</t>
  </si>
  <si>
    <t>Accumulated Depreciation Motor Vehicles</t>
  </si>
  <si>
    <t>Intercompany Loan (NCL)</t>
  </si>
  <si>
    <t>Borrowings (NCL)</t>
  </si>
  <si>
    <t>Provision for CAC Exit Arrangement</t>
  </si>
  <si>
    <t>Carbon Capture Use and Storage Development</t>
  </si>
  <si>
    <t>Provision for Payroll Bonus</t>
  </si>
  <si>
    <t>Total Intangible Assets</t>
  </si>
  <si>
    <t>Leased Building ROU</t>
  </si>
  <si>
    <t>Provision for Income Tax</t>
  </si>
  <si>
    <t>Deferred Tax Asset (NCA)</t>
  </si>
  <si>
    <t>Biological Assets</t>
  </si>
  <si>
    <t>Provision for Long Service Leave (NCL)</t>
  </si>
  <si>
    <t>Property, Plant and Equipment</t>
  </si>
  <si>
    <t>Deferred Tax (NCA)</t>
  </si>
  <si>
    <t>Livestock</t>
  </si>
  <si>
    <t>Non-Current Liabilities</t>
  </si>
  <si>
    <t>GST Receivable &amp; ATO Accounts</t>
  </si>
  <si>
    <t>Provisions (CL)</t>
  </si>
  <si>
    <t>Right-of-use Assets</t>
  </si>
  <si>
    <t>Accumulated Depreciation Land and Buildings</t>
  </si>
  <si>
    <t>Dividends</t>
  </si>
  <si>
    <t>Land and Buildings</t>
  </si>
  <si>
    <t>Provisions (NCL)</t>
  </si>
  <si>
    <t>Inventories - Australian Carbon Credit Units</t>
  </si>
  <si>
    <t>Insurance Premium Funding</t>
  </si>
  <si>
    <t>Capitalised Finance Costs</t>
  </si>
  <si>
    <t>Liability</t>
  </si>
  <si>
    <t>Accumulated Depreciation Office Equipment</t>
  </si>
  <si>
    <t>Equipment Loan</t>
  </si>
  <si>
    <t>Inventories</t>
  </si>
  <si>
    <t>Income in advance</t>
  </si>
  <si>
    <t>Intangible Assets</t>
  </si>
  <si>
    <t>Option Reserve</t>
  </si>
  <si>
    <t>Accumulated Depreciation on ROU</t>
  </si>
  <si>
    <t>Investments</t>
  </si>
  <si>
    <t>Total Retained Earnings</t>
  </si>
  <si>
    <t>Accumulated Depreciation Plant and Equipment</t>
  </si>
  <si>
    <t>Trade and Other Receivables - Due from other parties</t>
  </si>
  <si>
    <t>Financial Assets - Current</t>
  </si>
  <si>
    <t>Computer Equipment</t>
  </si>
  <si>
    <t>Financial Liabilities (CL)</t>
  </si>
  <si>
    <t>21300 - Lease Liabilities - Non Current</t>
  </si>
  <si>
    <t>Prior Month Cash</t>
  </si>
  <si>
    <t>Jun 25 YTD</t>
  </si>
  <si>
    <r>
      <t>**</t>
    </r>
    <r>
      <rPr>
        <sz val="10.5"/>
        <color rgb="FF333333"/>
        <rFont val="Consolas"/>
        <family val="3"/>
      </rPr>
      <t>Sales Revenue</t>
    </r>
    <r>
      <rPr>
        <sz val="10.5"/>
        <color rgb="FF000000"/>
        <rFont val="Consolas"/>
        <family val="3"/>
      </rPr>
      <t>**</t>
    </r>
    <r>
      <rPr>
        <sz val="10.5"/>
        <color rgb="FF333333"/>
        <rFont val="Consolas"/>
        <family val="3"/>
      </rPr>
      <t xml:space="preserve"> - Revenue from contracts with customers</t>
    </r>
  </si>
  <si>
    <t>Direct costs of goods/services sold</t>
  </si>
  <si>
    <r>
      <t>**</t>
    </r>
    <r>
      <rPr>
        <sz val="10.5"/>
        <color rgb="FF333333"/>
        <rFont val="Consolas"/>
        <family val="3"/>
      </rPr>
      <t>Employee Benefits</t>
    </r>
    <r>
      <rPr>
        <sz val="10.5"/>
        <color rgb="FF000000"/>
        <rFont val="Consolas"/>
        <family val="3"/>
      </rPr>
      <t>**</t>
    </r>
    <r>
      <rPr>
        <sz val="10.5"/>
        <color rgb="FF333333"/>
        <rFont val="Consolas"/>
        <family val="3"/>
      </rPr>
      <t xml:space="preserve"> - Wages, salaries, superannuation</t>
    </r>
  </si>
  <si>
    <r>
      <t>**</t>
    </r>
    <r>
      <rPr>
        <sz val="10.5"/>
        <color rgb="FF333333"/>
        <rFont val="Consolas"/>
        <family val="3"/>
      </rPr>
      <t>Administrative Expenses</t>
    </r>
    <r>
      <rPr>
        <sz val="10.5"/>
        <color rgb="FF000000"/>
        <rFont val="Consolas"/>
        <family val="3"/>
      </rPr>
      <t>**</t>
    </r>
    <r>
      <rPr>
        <sz val="10.5"/>
        <color rgb="FF333333"/>
        <rFont val="Consolas"/>
        <family val="3"/>
      </rPr>
      <t xml:space="preserve"> - Office costs, professional fees</t>
    </r>
  </si>
  <si>
    <r>
      <t>**</t>
    </r>
    <r>
      <rPr>
        <sz val="10.5"/>
        <color rgb="FF333333"/>
        <rFont val="Consolas"/>
        <family val="3"/>
      </rPr>
      <t>Depreciation &amp; Amortisation</t>
    </r>
    <r>
      <rPr>
        <sz val="10.5"/>
        <color rgb="FF000000"/>
        <rFont val="Consolas"/>
        <family val="3"/>
      </rPr>
      <t>**</t>
    </r>
    <r>
      <rPr>
        <sz val="10.5"/>
        <color rgb="FF333333"/>
        <rFont val="Consolas"/>
        <family val="3"/>
      </rPr>
      <t xml:space="preserve"> - Non-cash expenses</t>
    </r>
  </si>
  <si>
    <r>
      <t>**</t>
    </r>
    <r>
      <rPr>
        <sz val="10.5"/>
        <color rgb="FF333333"/>
        <rFont val="Consolas"/>
        <family val="3"/>
      </rPr>
      <t>Other Revenue</t>
    </r>
    <r>
      <rPr>
        <sz val="10.5"/>
        <color rgb="FF000000"/>
        <rFont val="Consolas"/>
        <family val="3"/>
      </rPr>
      <t>**</t>
    </r>
    <r>
      <rPr>
        <sz val="10.5"/>
        <color rgb="FF333333"/>
        <rFont val="Consolas"/>
        <family val="3"/>
      </rPr>
      <t xml:space="preserve"> - Interest, dividends, gains on disposal</t>
    </r>
  </si>
  <si>
    <r>
      <t>**</t>
    </r>
    <r>
      <rPr>
        <sz val="10.5"/>
        <color rgb="FF333333"/>
        <rFont val="Consolas"/>
        <family val="3"/>
      </rPr>
      <t>Other Expenses</t>
    </r>
    <r>
      <rPr>
        <sz val="10.5"/>
        <color rgb="FF000000"/>
        <rFont val="Consolas"/>
        <family val="3"/>
      </rPr>
      <t>**</t>
    </r>
    <r>
      <rPr>
        <sz val="10.5"/>
        <color rgb="FF333333"/>
        <rFont val="Consolas"/>
        <family val="3"/>
      </rPr>
      <t xml:space="preserve"> - Any other operating expenses</t>
    </r>
  </si>
  <si>
    <t>Report Values</t>
  </si>
  <si>
    <t>Maki Planet Systens</t>
  </si>
  <si>
    <t>30 June 20253</t>
  </si>
  <si>
    <t>Income Statement</t>
  </si>
  <si>
    <t>Balance Sheet</t>
  </si>
  <si>
    <t>Cashflow statement</t>
  </si>
  <si>
    <t>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</si>
</sst>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mmmm\ yyyy"/>
    <numFmt numFmtId="167" formatCode="#,##0;[Red]\(#,##0\);\-"/>
    <numFmt numFmtId="168" formatCode="#,##0;\(#,##0\);\-"/>
    <numFmt numFmtId="169" formatCode="_ * #,##0.00_ ;_ * \-#,##0.00_ ;_ * &quot;-&quot;??_ ;_ @_ "/>
    <numFmt numFmtId="170" formatCode="#,##0.00;\(#,##0.00\);\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 tint="-0.14999847407452621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1"/>
      <name val="Calibri"/>
      <family val="2"/>
    </font>
    <font>
      <sz val="9"/>
      <color theme="1"/>
      <name val="Arial"/>
      <family val="2"/>
    </font>
    <font>
      <i/>
      <sz val="11"/>
      <color theme="1"/>
      <name val="Aptos Narrow"/>
      <family val="2"/>
      <scheme val="minor"/>
    </font>
    <font>
      <i/>
      <sz val="11"/>
      <color theme="0" tint="-4.9989318521683403E-2"/>
      <name val="Aptos Narrow"/>
      <family val="2"/>
      <scheme val="minor"/>
    </font>
    <font>
      <b/>
      <sz val="1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rgb="FFFF0000"/>
      <name val="Aptos Narrow"/>
      <family val="2"/>
      <scheme val="minor"/>
    </font>
    <font>
      <b/>
      <sz val="16"/>
      <color theme="0" tint="-4.9989318521683403E-2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  <font>
      <i/>
      <sz val="8"/>
      <name val="Aptos Narrow"/>
      <family val="2"/>
      <scheme val="minor"/>
    </font>
    <font>
      <sz val="10.5"/>
      <color rgb="FF000000"/>
      <name val="Consolas"/>
      <family val="3"/>
    </font>
    <font>
      <sz val="10.5"/>
      <color rgb="FF333333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/>
    <xf numFmtId="169" fontId="1" fillId="0" borderId="0" applyFont="0" applyFill="0" applyBorder="0" applyAlignment="0" applyProtection="0"/>
    <xf numFmtId="0" fontId="13" fillId="0" borderId="0"/>
    <xf numFmtId="0" fontId="18" fillId="0" borderId="0"/>
    <xf numFmtId="0" fontId="1" fillId="0" borderId="0"/>
  </cellStyleXfs>
  <cellXfs count="114">
    <xf numFmtId="0" fontId="0" fillId="0" borderId="0" xfId="0"/>
    <xf numFmtId="0" fontId="3" fillId="0" borderId="0" xfId="0" applyFont="1"/>
    <xf numFmtId="0" fontId="0" fillId="3" borderId="0" xfId="0" quotePrefix="1" applyFill="1"/>
    <xf numFmtId="0" fontId="0" fillId="0" borderId="0" xfId="0" quotePrefix="1"/>
    <xf numFmtId="0" fontId="5" fillId="0" borderId="0" xfId="0" quotePrefix="1" applyFont="1"/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quotePrefix="1" applyFont="1"/>
    <xf numFmtId="166" fontId="9" fillId="0" borderId="0" xfId="0" quotePrefix="1" applyNumberFormat="1" applyFont="1" applyAlignment="1">
      <alignment horizontal="left"/>
    </xf>
    <xf numFmtId="0" fontId="3" fillId="0" borderId="0" xfId="0" applyFont="1" applyProtection="1">
      <protection locked="0"/>
    </xf>
    <xf numFmtId="0" fontId="10" fillId="0" borderId="0" xfId="0" applyFont="1" applyProtection="1">
      <protection locked="0"/>
    </xf>
    <xf numFmtId="40" fontId="2" fillId="0" borderId="0" xfId="0" applyNumberFormat="1" applyFont="1" applyAlignment="1">
      <alignment horizontal="center" wrapText="1"/>
    </xf>
    <xf numFmtId="0" fontId="12" fillId="0" borderId="2" xfId="0" applyFont="1" applyBorder="1"/>
    <xf numFmtId="0" fontId="0" fillId="0" borderId="0" xfId="0" quotePrefix="1" applyAlignment="1">
      <alignment horizontal="left" indent="12"/>
    </xf>
    <xf numFmtId="0" fontId="5" fillId="0" borderId="0" xfId="0" quotePrefix="1" applyFont="1" applyAlignment="1">
      <alignment horizontal="center"/>
    </xf>
    <xf numFmtId="167" fontId="0" fillId="0" borderId="0" xfId="0" applyNumberFormat="1"/>
    <xf numFmtId="0" fontId="0" fillId="0" borderId="0" xfId="0" quotePrefix="1" applyAlignment="1">
      <alignment horizontal="left" indent="10"/>
    </xf>
    <xf numFmtId="0" fontId="0" fillId="0" borderId="0" xfId="0" quotePrefix="1" applyAlignment="1">
      <alignment horizontal="left" indent="11"/>
    </xf>
    <xf numFmtId="0" fontId="3" fillId="0" borderId="0" xfId="0" quotePrefix="1" applyFont="1" applyAlignment="1">
      <alignment horizontal="left" indent="8"/>
    </xf>
    <xf numFmtId="0" fontId="3" fillId="3" borderId="3" xfId="0" quotePrefix="1" applyFont="1" applyFill="1" applyBorder="1" applyAlignment="1">
      <alignment horizontal="left" indent="11"/>
    </xf>
    <xf numFmtId="0" fontId="10" fillId="0" borderId="0" xfId="0" quotePrefix="1" applyFont="1" applyAlignment="1">
      <alignment horizontal="left" indent="11"/>
    </xf>
    <xf numFmtId="0" fontId="5" fillId="0" borderId="0" xfId="0" quotePrefix="1" applyFont="1" applyAlignment="1">
      <alignment horizontal="left" indent="12"/>
    </xf>
    <xf numFmtId="0" fontId="0" fillId="0" borderId="0" xfId="0" quotePrefix="1" applyAlignment="1">
      <alignment horizontal="left" indent="9"/>
    </xf>
    <xf numFmtId="0" fontId="12" fillId="0" borderId="0" xfId="0" applyFont="1"/>
    <xf numFmtId="0" fontId="14" fillId="0" borderId="0" xfId="0" quotePrefix="1" applyFont="1" applyAlignment="1">
      <alignment horizontal="left" indent="13"/>
    </xf>
    <xf numFmtId="0" fontId="15" fillId="0" borderId="0" xfId="0" quotePrefix="1" applyFont="1" applyAlignment="1">
      <alignment horizontal="center"/>
    </xf>
    <xf numFmtId="0" fontId="14" fillId="0" borderId="0" xfId="0" quotePrefix="1" applyFont="1" applyAlignment="1">
      <alignment horizontal="left" indent="10"/>
    </xf>
    <xf numFmtId="0" fontId="14" fillId="0" borderId="0" xfId="0" applyFont="1"/>
    <xf numFmtId="0" fontId="3" fillId="3" borderId="3" xfId="0" quotePrefix="1" applyFont="1" applyFill="1" applyBorder="1" applyAlignment="1">
      <alignment horizontal="left" indent="10"/>
    </xf>
    <xf numFmtId="0" fontId="5" fillId="0" borderId="0" xfId="0" quotePrefix="1" applyFont="1" applyAlignment="1">
      <alignment horizontal="left" indent="10"/>
    </xf>
    <xf numFmtId="0" fontId="3" fillId="2" borderId="3" xfId="0" quotePrefix="1" applyFont="1" applyFill="1" applyBorder="1" applyAlignment="1">
      <alignment horizontal="left" indent="9"/>
    </xf>
    <xf numFmtId="0" fontId="5" fillId="0" borderId="0" xfId="0" quotePrefix="1" applyFont="1" applyAlignment="1">
      <alignment horizontal="left" indent="11"/>
    </xf>
    <xf numFmtId="0" fontId="0" fillId="0" borderId="0" xfId="0" quotePrefix="1" applyAlignment="1">
      <alignment horizontal="left" indent="6"/>
    </xf>
    <xf numFmtId="0" fontId="0" fillId="0" borderId="0" xfId="0" quotePrefix="1" applyAlignment="1">
      <alignment horizontal="left" indent="5"/>
    </xf>
    <xf numFmtId="0" fontId="0" fillId="0" borderId="0" xfId="0" quotePrefix="1" applyAlignment="1">
      <alignment horizontal="left" indent="4"/>
    </xf>
    <xf numFmtId="0" fontId="0" fillId="0" borderId="0" xfId="0" quotePrefix="1" applyAlignment="1">
      <alignment horizontal="left" indent="3"/>
    </xf>
    <xf numFmtId="0" fontId="3" fillId="3" borderId="3" xfId="0" quotePrefix="1" applyFont="1" applyFill="1" applyBorder="1" applyAlignment="1">
      <alignment horizontal="left" indent="9"/>
    </xf>
    <xf numFmtId="0" fontId="3" fillId="2" borderId="3" xfId="0" quotePrefix="1" applyFont="1" applyFill="1" applyBorder="1" applyAlignment="1">
      <alignment horizontal="left" indent="8"/>
    </xf>
    <xf numFmtId="0" fontId="10" fillId="0" borderId="0" xfId="0" quotePrefix="1" applyFont="1" applyAlignment="1">
      <alignment horizontal="left" indent="8"/>
    </xf>
    <xf numFmtId="0" fontId="3" fillId="3" borderId="3" xfId="0" quotePrefix="1" applyFont="1" applyFill="1" applyBorder="1" applyAlignment="1">
      <alignment horizontal="left" indent="8"/>
    </xf>
    <xf numFmtId="0" fontId="3" fillId="2" borderId="3" xfId="0" quotePrefix="1" applyFont="1" applyFill="1" applyBorder="1" applyAlignment="1">
      <alignment horizontal="left" indent="6"/>
    </xf>
    <xf numFmtId="0" fontId="5" fillId="0" borderId="0" xfId="0" quotePrefix="1" applyFont="1" applyAlignment="1">
      <alignment horizontal="left" indent="6"/>
    </xf>
    <xf numFmtId="0" fontId="3" fillId="2" borderId="3" xfId="0" quotePrefix="1" applyFont="1" applyFill="1" applyBorder="1" applyAlignment="1">
      <alignment horizontal="left" indent="5"/>
    </xf>
    <xf numFmtId="0" fontId="5" fillId="0" borderId="0" xfId="0" quotePrefix="1" applyFont="1" applyAlignment="1">
      <alignment horizontal="left" indent="5"/>
    </xf>
    <xf numFmtId="0" fontId="3" fillId="2" borderId="3" xfId="0" quotePrefix="1" applyFont="1" applyFill="1" applyBorder="1" applyAlignment="1">
      <alignment horizontal="left" indent="4"/>
    </xf>
    <xf numFmtId="0" fontId="3" fillId="2" borderId="3" xfId="0" quotePrefix="1" applyFont="1" applyFill="1" applyBorder="1" applyAlignment="1">
      <alignment horizontal="left" indent="3"/>
    </xf>
    <xf numFmtId="0" fontId="5" fillId="0" borderId="0" xfId="0" quotePrefix="1" applyFont="1" applyAlignment="1">
      <alignment horizontal="left" indent="3"/>
    </xf>
    <xf numFmtId="0" fontId="3" fillId="2" borderId="3" xfId="0" quotePrefix="1" applyFont="1" applyFill="1" applyBorder="1" applyAlignment="1">
      <alignment horizontal="left" indent="2"/>
    </xf>
    <xf numFmtId="0" fontId="5" fillId="0" borderId="0" xfId="0" applyFont="1"/>
    <xf numFmtId="0" fontId="0" fillId="0" borderId="0" xfId="0" applyProtection="1">
      <protection locked="0"/>
    </xf>
    <xf numFmtId="0" fontId="0" fillId="0" borderId="0" xfId="0" quotePrefix="1" applyAlignment="1">
      <alignment horizontal="left" indent="2"/>
    </xf>
    <xf numFmtId="0" fontId="4" fillId="4" borderId="0" xfId="0" quotePrefix="1" applyFont="1" applyFill="1"/>
    <xf numFmtId="40" fontId="2" fillId="4" borderId="1" xfId="0" applyNumberFormat="1" applyFont="1" applyFill="1" applyBorder="1" applyAlignment="1">
      <alignment horizontal="center" wrapText="1"/>
    </xf>
    <xf numFmtId="0" fontId="0" fillId="2" borderId="0" xfId="0" quotePrefix="1" applyFill="1"/>
    <xf numFmtId="0" fontId="3" fillId="3" borderId="3" xfId="0" quotePrefix="1" applyFont="1" applyFill="1" applyBorder="1" applyAlignment="1">
      <alignment horizontal="left" indent="2"/>
    </xf>
    <xf numFmtId="0" fontId="3" fillId="2" borderId="3" xfId="0" quotePrefix="1" applyFont="1" applyFill="1" applyBorder="1" applyAlignment="1">
      <alignment horizontal="left"/>
    </xf>
    <xf numFmtId="0" fontId="2" fillId="4" borderId="0" xfId="0" applyFont="1" applyFill="1" applyProtection="1">
      <protection locked="0"/>
    </xf>
    <xf numFmtId="0" fontId="16" fillId="5" borderId="4" xfId="0" quotePrefix="1" applyFont="1" applyFill="1" applyBorder="1" applyAlignment="1">
      <alignment horizontal="left"/>
    </xf>
    <xf numFmtId="0" fontId="17" fillId="0" borderId="0" xfId="0" applyFont="1"/>
    <xf numFmtId="167" fontId="0" fillId="0" borderId="0" xfId="0" quotePrefix="1" applyNumberFormat="1"/>
    <xf numFmtId="167" fontId="0" fillId="0" borderId="0" xfId="0" applyNumberFormat="1" applyProtection="1">
      <protection locked="0"/>
    </xf>
    <xf numFmtId="0" fontId="2" fillId="4" borderId="0" xfId="0" quotePrefix="1" applyFont="1" applyFill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10" fillId="0" borderId="0" xfId="0" quotePrefix="1" applyFont="1" applyAlignment="1">
      <alignment horizontal="center"/>
    </xf>
    <xf numFmtId="0" fontId="19" fillId="0" borderId="0" xfId="0" quotePrefix="1" applyFont="1" applyAlignment="1">
      <alignment horizontal="left" indent="5"/>
    </xf>
    <xf numFmtId="0" fontId="2" fillId="0" borderId="0" xfId="0" applyFont="1" applyProtection="1">
      <protection locked="0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5" fillId="0" borderId="0" xfId="0" applyFont="1" applyProtection="1">
      <protection locked="0"/>
    </xf>
    <xf numFmtId="0" fontId="3" fillId="3" borderId="3" xfId="0" quotePrefix="1" applyFont="1" applyFill="1" applyBorder="1" applyAlignment="1">
      <alignment horizontal="left"/>
    </xf>
    <xf numFmtId="0" fontId="3" fillId="3" borderId="4" xfId="0" quotePrefix="1" applyFont="1" applyFill="1" applyBorder="1" applyAlignment="1">
      <alignment horizontal="left"/>
    </xf>
    <xf numFmtId="0" fontId="5" fillId="0" borderId="0" xfId="0" quotePrefix="1" applyFont="1" applyAlignment="1">
      <alignment horizontal="left" indent="4"/>
    </xf>
    <xf numFmtId="0" fontId="10" fillId="0" borderId="0" xfId="0" applyFont="1"/>
    <xf numFmtId="0" fontId="20" fillId="0" borderId="0" xfId="0" quotePrefix="1" applyFont="1"/>
    <xf numFmtId="166" fontId="21" fillId="0" borderId="0" xfId="0" quotePrefix="1" applyNumberFormat="1" applyFont="1" applyAlignment="1">
      <alignment horizontal="left"/>
    </xf>
    <xf numFmtId="0" fontId="15" fillId="0" borderId="0" xfId="0" quotePrefix="1" applyFont="1" applyAlignment="1">
      <alignment horizontal="left" indent="5"/>
    </xf>
    <xf numFmtId="0" fontId="15" fillId="0" borderId="0" xfId="0" applyFont="1"/>
    <xf numFmtId="167" fontId="22" fillId="0" borderId="0" xfId="0" applyNumberFormat="1" applyFont="1"/>
    <xf numFmtId="170" fontId="0" fillId="0" borderId="0" xfId="0" applyNumberFormat="1"/>
    <xf numFmtId="170" fontId="19" fillId="0" borderId="0" xfId="0" applyNumberFormat="1" applyFont="1" applyAlignment="1">
      <alignment shrinkToFit="1"/>
    </xf>
    <xf numFmtId="168" fontId="0" fillId="0" borderId="0" xfId="0" quotePrefix="1" applyNumberFormat="1"/>
    <xf numFmtId="168" fontId="0" fillId="0" borderId="0" xfId="0" applyNumberFormat="1"/>
    <xf numFmtId="168" fontId="3" fillId="0" borderId="3" xfId="0" quotePrefix="1" applyNumberFormat="1" applyFont="1" applyBorder="1"/>
    <xf numFmtId="168" fontId="14" fillId="0" borderId="0" xfId="0" quotePrefix="1" applyNumberFormat="1" applyFont="1"/>
    <xf numFmtId="168" fontId="14" fillId="0" borderId="0" xfId="0" applyNumberFormat="1" applyFont="1"/>
    <xf numFmtId="168" fontId="22" fillId="3" borderId="0" xfId="0" quotePrefix="1" applyNumberFormat="1" applyFont="1" applyFill="1"/>
    <xf numFmtId="168" fontId="22" fillId="0" borderId="0" xfId="0" quotePrefix="1" applyNumberFormat="1" applyFont="1"/>
    <xf numFmtId="168" fontId="22" fillId="0" borderId="0" xfId="0" applyNumberFormat="1" applyFont="1" applyProtection="1">
      <protection locked="0"/>
    </xf>
    <xf numFmtId="168" fontId="22" fillId="3" borderId="0" xfId="0" applyNumberFormat="1" applyFont="1" applyFill="1" applyAlignment="1">
      <alignment shrinkToFit="1"/>
    </xf>
    <xf numFmtId="168" fontId="22" fillId="0" borderId="0" xfId="0" applyNumberFormat="1" applyFont="1" applyAlignment="1">
      <alignment shrinkToFit="1"/>
    </xf>
    <xf numFmtId="168" fontId="22" fillId="0" borderId="0" xfId="0" quotePrefix="1" applyNumberFormat="1" applyFont="1" applyAlignment="1">
      <alignment horizontal="left" indent="2"/>
    </xf>
    <xf numFmtId="168" fontId="22" fillId="3" borderId="0" xfId="0" applyNumberFormat="1" applyFont="1" applyFill="1"/>
    <xf numFmtId="168" fontId="22" fillId="0" borderId="0" xfId="0" applyNumberFormat="1" applyFont="1"/>
    <xf numFmtId="168" fontId="22" fillId="0" borderId="0" xfId="0" quotePrefix="1" applyNumberFormat="1" applyFont="1" applyAlignment="1">
      <alignment horizontal="left" indent="4"/>
    </xf>
    <xf numFmtId="168" fontId="22" fillId="0" borderId="0" xfId="0" quotePrefix="1" applyNumberFormat="1" applyFont="1" applyAlignment="1">
      <alignment horizontal="left" indent="5"/>
    </xf>
    <xf numFmtId="168" fontId="16" fillId="3" borderId="3" xfId="0" applyNumberFormat="1" applyFont="1" applyFill="1" applyBorder="1" applyAlignment="1">
      <alignment shrinkToFit="1"/>
    </xf>
    <xf numFmtId="168" fontId="16" fillId="0" borderId="3" xfId="0" applyNumberFormat="1" applyFont="1" applyBorder="1" applyAlignment="1">
      <alignment shrinkToFit="1"/>
    </xf>
    <xf numFmtId="168" fontId="22" fillId="0" borderId="0" xfId="0" quotePrefix="1" applyNumberFormat="1" applyFont="1" applyAlignment="1">
      <alignment horizontal="left" indent="3"/>
    </xf>
    <xf numFmtId="168" fontId="22" fillId="2" borderId="3" xfId="0" applyNumberFormat="1" applyFont="1" applyFill="1" applyBorder="1" applyAlignment="1">
      <alignment shrinkToFit="1"/>
    </xf>
    <xf numFmtId="168" fontId="16" fillId="5" borderId="4" xfId="0" applyNumberFormat="1" applyFont="1" applyFill="1" applyBorder="1" applyAlignment="1">
      <alignment shrinkToFit="1"/>
    </xf>
    <xf numFmtId="168" fontId="16" fillId="0" borderId="0" xfId="0" quotePrefix="1" applyNumberFormat="1" applyFont="1" applyAlignment="1">
      <alignment horizontal="left" indent="5"/>
    </xf>
    <xf numFmtId="168" fontId="23" fillId="0" borderId="0" xfId="0" applyNumberFormat="1" applyFont="1"/>
    <xf numFmtId="168" fontId="0" fillId="0" borderId="0" xfId="0" applyNumberFormat="1" applyAlignment="1">
      <alignment shrinkToFit="1"/>
    </xf>
    <xf numFmtId="168" fontId="3" fillId="0" borderId="5" xfId="0" applyNumberFormat="1" applyFont="1" applyBorder="1" applyAlignment="1">
      <alignment shrinkToFit="1"/>
    </xf>
    <xf numFmtId="168" fontId="0" fillId="0" borderId="3" xfId="0" applyNumberFormat="1" applyBorder="1" applyAlignment="1">
      <alignment shrinkToFit="1"/>
    </xf>
    <xf numFmtId="168" fontId="0" fillId="3" borderId="3" xfId="0" applyNumberFormat="1" applyFill="1" applyBorder="1" applyAlignment="1">
      <alignment shrinkToFit="1"/>
    </xf>
    <xf numFmtId="168" fontId="0" fillId="0" borderId="4" xfId="0" applyNumberFormat="1" applyBorder="1" applyAlignment="1">
      <alignment shrinkToFit="1"/>
    </xf>
    <xf numFmtId="164" fontId="22" fillId="0" borderId="0" xfId="1" applyFont="1"/>
    <xf numFmtId="168" fontId="0" fillId="0" borderId="0" xfId="0" quotePrefix="1" applyNumberFormat="1" applyAlignment="1">
      <alignment shrinkToFit="1"/>
    </xf>
    <xf numFmtId="17" fontId="11" fillId="4" borderId="0" xfId="0" quotePrefix="1" applyNumberFormat="1" applyFont="1" applyFill="1" applyAlignment="1">
      <alignment horizontal="center"/>
    </xf>
    <xf numFmtId="0" fontId="24" fillId="0" borderId="0" xfId="0" applyFont="1"/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8">
    <cellStyle name="Comma" xfId="1" builtinId="3"/>
    <cellStyle name="Comma 3" xfId="4" xr:uid="{644049DA-01E9-4B3D-BCA7-798C7C1682C4}"/>
    <cellStyle name="Currency 2" xfId="2" xr:uid="{130CFE1A-907F-4FC2-B2E2-3CCB6600FA0C}"/>
    <cellStyle name="Normal" xfId="0" builtinId="0"/>
    <cellStyle name="Normal 2" xfId="3" xr:uid="{C91B0F87-2ADE-4546-8E20-4E8CC901E123}"/>
    <cellStyle name="Normal 2 2" xfId="5" xr:uid="{118AF485-8B46-4C0D-900F-D4BC1A05B821}"/>
    <cellStyle name="Normal 2 3" xfId="7" xr:uid="{0D9A39C6-8D83-4C90-9573-38748254A952}"/>
    <cellStyle name="Normal 3" xfId="6" xr:uid="{AF212C05-2CAB-48A2-8AF6-F57D1B5EC64A}"/>
  </cellStyles>
  <dxfs count="0"/>
  <tableStyles count="0" defaultTableStyle="TableStyleMedium2" defaultPivotStyle="PivotStyleLight16"/>
  <colors>
    <mruColors>
      <color rgb="FFFFABA5"/>
      <color rgb="FFFF9999"/>
      <color rgb="FFF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D4A7-BEDF-45B1-82C5-7855FBD8EDED}">
  <sheetPr filterMode="1">
    <tabColor theme="3" tint="0.249977111117893"/>
  </sheetPr>
  <dimension ref="B1:F181"/>
  <sheetViews>
    <sheetView tabSelected="1" zoomScale="70" zoomScaleNormal="70" workbookViewId="0">
      <pane xSplit="2" topLeftCell="C1" activePane="topRight" state="frozen"/>
      <selection activeCell="A6" sqref="A6"/>
      <selection pane="topRight" activeCell="E93" sqref="E93:E95"/>
    </sheetView>
  </sheetViews>
  <sheetFormatPr defaultColWidth="6.5703125" defaultRowHeight="15" outlineLevelRow="1"/>
  <cols>
    <col min="1" max="1" width="3" customWidth="1"/>
    <col min="2" max="2" width="62.28515625" customWidth="1"/>
    <col min="3" max="3" width="1.7109375" customWidth="1"/>
    <col min="4" max="4" width="1.7109375" style="48" customWidth="1"/>
    <col min="5" max="5" width="15.42578125" customWidth="1"/>
    <col min="6" max="6" width="78.7109375" bestFit="1" customWidth="1"/>
  </cols>
  <sheetData>
    <row r="1" spans="2:6" outlineLevel="1">
      <c r="B1" s="53" t="s">
        <v>2</v>
      </c>
      <c r="C1" s="3"/>
      <c r="D1" s="4"/>
      <c r="E1" s="5"/>
    </row>
    <row r="2" spans="2:6" outlineLevel="1">
      <c r="B2" s="2" t="s">
        <v>55</v>
      </c>
      <c r="C2" s="3"/>
      <c r="D2" s="4"/>
      <c r="E2" s="5"/>
    </row>
    <row r="3" spans="2:6" outlineLevel="1">
      <c r="B3" s="2" t="s">
        <v>54</v>
      </c>
      <c r="C3" s="3"/>
      <c r="D3" s="4"/>
      <c r="E3" s="5"/>
    </row>
    <row r="4" spans="2:6" outlineLevel="1">
      <c r="B4" s="2" t="s">
        <v>136</v>
      </c>
      <c r="C4" s="3"/>
      <c r="D4" s="4"/>
      <c r="E4" s="5"/>
    </row>
    <row r="5" spans="2:6" outlineLevel="1">
      <c r="B5" s="2" t="s">
        <v>53</v>
      </c>
      <c r="C5" s="3"/>
      <c r="D5" s="4"/>
      <c r="E5" s="5"/>
    </row>
    <row r="6" spans="2:6">
      <c r="B6" s="3"/>
      <c r="C6" s="3"/>
      <c r="D6" s="4"/>
      <c r="E6" s="6"/>
    </row>
    <row r="7" spans="2:6" ht="21">
      <c r="B7" s="7" t="s">
        <v>295</v>
      </c>
      <c r="C7" s="3"/>
      <c r="D7" s="4"/>
      <c r="E7" s="6"/>
    </row>
    <row r="8" spans="2:6" ht="18.75">
      <c r="B8" s="8" t="s">
        <v>296</v>
      </c>
      <c r="C8" s="3"/>
      <c r="D8" s="4"/>
      <c r="E8" s="6"/>
    </row>
    <row r="9" spans="2:6">
      <c r="B9" s="3" t="s">
        <v>3</v>
      </c>
      <c r="C9" s="3"/>
      <c r="D9" s="4"/>
      <c r="E9" s="1" t="s">
        <v>297</v>
      </c>
    </row>
    <row r="10" spans="2:6">
      <c r="B10" s="3"/>
      <c r="C10" s="3"/>
      <c r="D10" s="4"/>
      <c r="E10" s="1" t="s">
        <v>294</v>
      </c>
    </row>
    <row r="11" spans="2:6" s="1" customFormat="1">
      <c r="B11" s="56" t="s">
        <v>4</v>
      </c>
      <c r="C11" s="9" t="s">
        <v>5</v>
      </c>
      <c r="D11" s="10"/>
      <c r="E11" s="110" t="s">
        <v>286</v>
      </c>
    </row>
    <row r="12" spans="2:6" s="1" customFormat="1">
      <c r="B12" s="9"/>
      <c r="C12" s="9"/>
      <c r="D12" s="10"/>
      <c r="E12" s="52" t="s">
        <v>0</v>
      </c>
      <c r="F12" s="1" t="s">
        <v>300</v>
      </c>
    </row>
    <row r="13" spans="2:6" s="1" customFormat="1">
      <c r="B13" s="12" t="s">
        <v>6</v>
      </c>
      <c r="C13" s="9"/>
      <c r="D13" s="10"/>
      <c r="E13" s="11"/>
    </row>
    <row r="14" spans="2:6">
      <c r="B14" s="13" t="s">
        <v>164</v>
      </c>
      <c r="C14" s="14" t="e">
        <f>IF(SUMSQ(#REF!)=0,"Hide","Show")</f>
        <v>#REF!</v>
      </c>
      <c r="D14" s="14" t="s">
        <v>7</v>
      </c>
      <c r="E14" s="81">
        <v>0</v>
      </c>
    </row>
    <row r="15" spans="2:6">
      <c r="B15" s="13" t="s">
        <v>172</v>
      </c>
      <c r="C15" s="14" t="e">
        <f>IF(SUMSQ(#REF!)=0,"Hide","Show")</f>
        <v>#REF!</v>
      </c>
      <c r="D15" s="14" t="s">
        <v>7</v>
      </c>
      <c r="E15" s="81">
        <v>0</v>
      </c>
    </row>
    <row r="16" spans="2:6">
      <c r="B16" s="13" t="s">
        <v>144</v>
      </c>
      <c r="C16" s="14" t="e">
        <f>IF(SUMSQ(#REF!)=0,"Hide","Show")</f>
        <v>#REF!</v>
      </c>
      <c r="D16" s="14" t="s">
        <v>7</v>
      </c>
      <c r="E16" s="81">
        <v>0</v>
      </c>
    </row>
    <row r="17" spans="2:6" s="1" customFormat="1">
      <c r="B17" s="19" t="s">
        <v>6</v>
      </c>
      <c r="C17" s="20"/>
      <c r="D17" s="20"/>
      <c r="E17" s="83">
        <v>0</v>
      </c>
    </row>
    <row r="18" spans="2:6">
      <c r="B18" s="13"/>
      <c r="C18" s="21"/>
      <c r="D18" s="21"/>
      <c r="E18" s="81"/>
    </row>
    <row r="19" spans="2:6">
      <c r="B19" s="23" t="s">
        <v>8</v>
      </c>
      <c r="C19" s="21"/>
      <c r="D19" s="21"/>
      <c r="E19" s="81"/>
    </row>
    <row r="20" spans="2:6">
      <c r="B20" s="13" t="s">
        <v>105</v>
      </c>
      <c r="C20" s="14" t="e">
        <f>IF(SUMSQ(#REF!)=0,"Hide","Show")</f>
        <v>#REF!</v>
      </c>
      <c r="D20" s="14" t="s">
        <v>9</v>
      </c>
      <c r="E20" s="81">
        <v>0</v>
      </c>
    </row>
    <row r="21" spans="2:6" s="27" customFormat="1">
      <c r="B21" s="24" t="s">
        <v>89</v>
      </c>
      <c r="C21" s="25" t="e">
        <f>IF(SUMSQ(#REF!)=0,"Hide","Show")</f>
        <v>#REF!</v>
      </c>
      <c r="D21" s="25" t="s">
        <v>9</v>
      </c>
      <c r="E21" s="84">
        <v>0</v>
      </c>
    </row>
    <row r="22" spans="2:6" s="27" customFormat="1">
      <c r="B22" s="24" t="s">
        <v>146</v>
      </c>
      <c r="C22" s="25" t="e">
        <f>IF(SUMSQ(#REF!)=0,"Hide","Show")</f>
        <v>#REF!</v>
      </c>
      <c r="D22" s="25" t="s">
        <v>9</v>
      </c>
      <c r="E22" s="84">
        <v>0</v>
      </c>
    </row>
    <row r="23" spans="2:6">
      <c r="B23" s="13" t="s">
        <v>77</v>
      </c>
      <c r="C23" s="14" t="e">
        <f>IF(SUMSQ(#REF!)=0,"Hide","Show")</f>
        <v>#REF!</v>
      </c>
      <c r="D23" s="14" t="s">
        <v>9</v>
      </c>
      <c r="E23" s="81">
        <v>0</v>
      </c>
    </row>
    <row r="24" spans="2:6" s="27" customFormat="1">
      <c r="B24" s="24" t="s">
        <v>156</v>
      </c>
      <c r="C24" s="25" t="e">
        <f>IF(SUMSQ(#REF!)=0,"Hide","Show")</f>
        <v>#REF!</v>
      </c>
      <c r="D24" s="25" t="s">
        <v>9</v>
      </c>
      <c r="E24" s="84">
        <v>0</v>
      </c>
    </row>
    <row r="25" spans="2:6" s="27" customFormat="1">
      <c r="B25" s="24" t="s">
        <v>161</v>
      </c>
      <c r="C25" s="25" t="e">
        <f>IF(SUMSQ(#REF!)=0,"Hide","Show")</f>
        <v>#REF!</v>
      </c>
      <c r="D25" s="25" t="s">
        <v>9</v>
      </c>
      <c r="E25" s="84">
        <v>0</v>
      </c>
    </row>
    <row r="26" spans="2:6">
      <c r="B26" s="13" t="s">
        <v>149</v>
      </c>
      <c r="C26" s="14" t="e">
        <f>IF(SUMSQ(#REF!)=0,"Hide","Show")</f>
        <v>#REF!</v>
      </c>
      <c r="D26" s="14" t="s">
        <v>9</v>
      </c>
      <c r="E26" s="81">
        <v>0</v>
      </c>
    </row>
    <row r="27" spans="2:6">
      <c r="B27" s="13" t="s">
        <v>163</v>
      </c>
      <c r="C27" s="14" t="e">
        <f>IF(SUMSQ(#REF!)=0,"Hide","Show")</f>
        <v>#REF!</v>
      </c>
      <c r="D27" s="14" t="s">
        <v>9</v>
      </c>
      <c r="E27" s="81">
        <v>0</v>
      </c>
    </row>
    <row r="28" spans="2:6">
      <c r="B28" s="13" t="s">
        <v>126</v>
      </c>
      <c r="C28" s="14" t="e">
        <f>IF(SUMSQ(#REF!)=0,"Hide","Show")</f>
        <v>#REF!</v>
      </c>
      <c r="D28" s="14" t="s">
        <v>9</v>
      </c>
      <c r="E28" s="81">
        <v>0</v>
      </c>
    </row>
    <row r="29" spans="2:6">
      <c r="B29" s="13" t="s">
        <v>141</v>
      </c>
      <c r="C29" s="14" t="e">
        <f>IF(SUMSQ(#REF!)=0,"Hide","Show")</f>
        <v>#REF!</v>
      </c>
      <c r="D29" s="14" t="s">
        <v>9</v>
      </c>
      <c r="E29" s="81">
        <v>0</v>
      </c>
    </row>
    <row r="30" spans="2:6">
      <c r="B30" s="13" t="s">
        <v>108</v>
      </c>
      <c r="C30" s="14" t="e">
        <f>IF(SUMSQ(#REF!)=0,"Hide","Show")</f>
        <v>#REF!</v>
      </c>
      <c r="D30" s="14" t="s">
        <v>9</v>
      </c>
      <c r="E30" s="81">
        <v>0</v>
      </c>
    </row>
    <row r="31" spans="2:6" s="1" customFormat="1">
      <c r="B31" s="19" t="s">
        <v>94</v>
      </c>
      <c r="C31" s="20"/>
      <c r="D31" s="20" t="s">
        <v>9</v>
      </c>
      <c r="E31" s="83">
        <v>0</v>
      </c>
      <c r="F31" s="112" t="s">
        <v>288</v>
      </c>
    </row>
    <row r="32" spans="2:6">
      <c r="B32" s="13"/>
      <c r="C32" s="21"/>
      <c r="D32" s="21"/>
      <c r="E32" s="81"/>
    </row>
    <row r="33" spans="2:5" s="1" customFormat="1">
      <c r="B33" s="28" t="s">
        <v>104</v>
      </c>
      <c r="C33" s="20"/>
      <c r="D33" s="20" t="s">
        <v>7</v>
      </c>
      <c r="E33" s="83">
        <v>0</v>
      </c>
    </row>
    <row r="34" spans="2:5">
      <c r="B34" s="13"/>
      <c r="C34" s="21"/>
      <c r="D34" s="21"/>
      <c r="E34" s="81"/>
    </row>
    <row r="35" spans="2:5">
      <c r="B35" s="23" t="s">
        <v>10</v>
      </c>
      <c r="C35" s="21"/>
      <c r="D35" s="21"/>
      <c r="E35" s="81"/>
    </row>
    <row r="36" spans="2:5">
      <c r="B36" s="17" t="s">
        <v>155</v>
      </c>
      <c r="C36" s="14" t="e">
        <f>IF(SUMSQ(#REF!)=0,"Hide","Show")</f>
        <v>#REF!</v>
      </c>
      <c r="D36" s="14" t="s">
        <v>7</v>
      </c>
      <c r="E36" s="81">
        <v>0</v>
      </c>
    </row>
    <row r="37" spans="2:5">
      <c r="B37" s="17" t="s">
        <v>129</v>
      </c>
      <c r="C37" s="14" t="e">
        <f>IF(SUMSQ(#REF!)=0,"Hide","Show")</f>
        <v>#REF!</v>
      </c>
      <c r="D37" s="14" t="s">
        <v>7</v>
      </c>
      <c r="E37" s="81">
        <v>0</v>
      </c>
    </row>
    <row r="38" spans="2:5" s="1" customFormat="1">
      <c r="B38" s="28" t="s">
        <v>114</v>
      </c>
      <c r="C38" s="20"/>
      <c r="D38" s="20" t="s">
        <v>7</v>
      </c>
      <c r="E38" s="83">
        <v>0</v>
      </c>
    </row>
    <row r="39" spans="2:5">
      <c r="B39" s="16"/>
      <c r="C39" s="29"/>
      <c r="D39" s="29"/>
      <c r="E39" s="81"/>
    </row>
    <row r="40" spans="2:5" s="1" customFormat="1">
      <c r="B40" s="30" t="s">
        <v>137</v>
      </c>
      <c r="C40" s="20"/>
      <c r="D40" s="20" t="s">
        <v>7</v>
      </c>
      <c r="E40" s="83">
        <v>0</v>
      </c>
    </row>
    <row r="41" spans="2:5">
      <c r="B41" s="17"/>
      <c r="C41" s="31"/>
      <c r="D41" s="31"/>
      <c r="E41" s="81"/>
    </row>
    <row r="42" spans="2:5">
      <c r="B42" s="23" t="s">
        <v>11</v>
      </c>
      <c r="C42" s="21"/>
      <c r="D42" s="21"/>
      <c r="E42" s="81"/>
    </row>
    <row r="43" spans="2:5">
      <c r="B43" s="17" t="s">
        <v>145</v>
      </c>
      <c r="C43" s="14" t="e">
        <f>IF(SUMSQ(#REF!)=0,"Hide","Show")</f>
        <v>#REF!</v>
      </c>
      <c r="D43" s="14" t="s">
        <v>7</v>
      </c>
      <c r="E43" s="81">
        <v>0</v>
      </c>
    </row>
    <row r="44" spans="2:5">
      <c r="B44" s="17" t="s">
        <v>128</v>
      </c>
      <c r="C44" s="14" t="e">
        <f>IF(SUMSQ(#REF!)=0,"Hide","Show")</f>
        <v>#REF!</v>
      </c>
      <c r="D44" s="14" t="s">
        <v>7</v>
      </c>
      <c r="E44" s="81">
        <v>0</v>
      </c>
    </row>
    <row r="45" spans="2:5" s="1" customFormat="1">
      <c r="B45" s="28" t="s">
        <v>107</v>
      </c>
      <c r="C45" s="20" t="e">
        <f>IF(SUMSQ(#REF!)=0,"Hide","Show")</f>
        <v>#REF!</v>
      </c>
      <c r="D45" s="20" t="s">
        <v>7</v>
      </c>
      <c r="E45" s="83">
        <v>0</v>
      </c>
    </row>
    <row r="46" spans="2:5">
      <c r="B46" s="17"/>
      <c r="C46" s="31"/>
      <c r="D46" s="31"/>
      <c r="E46" s="81"/>
    </row>
    <row r="47" spans="2:5">
      <c r="B47" s="23" t="s">
        <v>12</v>
      </c>
      <c r="C47" s="21"/>
      <c r="D47" s="21"/>
      <c r="E47" s="81"/>
    </row>
    <row r="48" spans="2:5">
      <c r="B48" s="17" t="s">
        <v>121</v>
      </c>
      <c r="C48" s="14" t="e">
        <f>IF(SUMSQ(#REF!)=0,"Hide","Show")</f>
        <v>#REF!</v>
      </c>
      <c r="D48" s="14" t="s">
        <v>9</v>
      </c>
      <c r="E48" s="81">
        <v>0</v>
      </c>
    </row>
    <row r="49" spans="2:6">
      <c r="B49" s="17" t="s">
        <v>154</v>
      </c>
      <c r="C49" s="14" t="e">
        <f>IF(SUMSQ(#REF!)=0,"Hide","Show")</f>
        <v>#REF!</v>
      </c>
      <c r="D49" s="14" t="s">
        <v>9</v>
      </c>
      <c r="E49" s="81">
        <v>0</v>
      </c>
    </row>
    <row r="50" spans="2:6">
      <c r="B50" s="17" t="s">
        <v>142</v>
      </c>
      <c r="C50" s="14" t="e">
        <f>IF(SUMSQ(#REF!)=0,"Hide","Show")</f>
        <v>#REF!</v>
      </c>
      <c r="D50" s="14" t="s">
        <v>9</v>
      </c>
      <c r="E50" s="81">
        <v>0</v>
      </c>
    </row>
    <row r="51" spans="2:6">
      <c r="B51" s="17" t="s">
        <v>150</v>
      </c>
      <c r="C51" s="14" t="e">
        <f>IF(SUMSQ(#REF!)=0,"Hide","Show")</f>
        <v>#REF!</v>
      </c>
      <c r="D51" s="14" t="s">
        <v>9</v>
      </c>
      <c r="E51" s="81">
        <v>0</v>
      </c>
    </row>
    <row r="52" spans="2:6">
      <c r="B52" s="17" t="s">
        <v>86</v>
      </c>
      <c r="C52" s="14" t="e">
        <f>IF(SUMSQ(#REF!)=0,"Hide","Show")</f>
        <v>#REF!</v>
      </c>
      <c r="D52" s="14" t="s">
        <v>9</v>
      </c>
      <c r="E52" s="81">
        <v>0</v>
      </c>
    </row>
    <row r="53" spans="2:6">
      <c r="B53" s="17" t="s">
        <v>88</v>
      </c>
      <c r="C53" s="14" t="e">
        <f>IF(SUMSQ(#REF!)=0,"Hide","Show")</f>
        <v>#REF!</v>
      </c>
      <c r="D53" s="14" t="s">
        <v>9</v>
      </c>
      <c r="E53" s="81">
        <v>0</v>
      </c>
    </row>
    <row r="54" spans="2:6" s="1" customFormat="1">
      <c r="B54" s="28" t="s">
        <v>71</v>
      </c>
      <c r="C54" s="20" t="e">
        <f>IF(SUMSQ(#REF!)=0,"Hide","Show")</f>
        <v>#REF!</v>
      </c>
      <c r="D54" s="20" t="s">
        <v>9</v>
      </c>
      <c r="E54" s="83">
        <v>0</v>
      </c>
    </row>
    <row r="55" spans="2:6">
      <c r="B55" s="17"/>
      <c r="C55" s="31"/>
      <c r="D55" s="31"/>
      <c r="E55" s="81"/>
    </row>
    <row r="56" spans="2:6" s="1" customFormat="1">
      <c r="B56" s="30" t="s">
        <v>106</v>
      </c>
      <c r="C56" s="20" t="e">
        <f>IF(SUMSQ(#REF!)=0,"Hide","Show")</f>
        <v>#REF!</v>
      </c>
      <c r="D56" s="20" t="s">
        <v>7</v>
      </c>
      <c r="E56" s="83">
        <v>0</v>
      </c>
    </row>
    <row r="57" spans="2:6">
      <c r="B57" s="17"/>
      <c r="C57" s="31"/>
      <c r="D57" s="31"/>
      <c r="E57" s="81"/>
    </row>
    <row r="58" spans="2:6">
      <c r="B58" s="23" t="s">
        <v>13</v>
      </c>
      <c r="C58" s="21"/>
      <c r="D58" s="21"/>
      <c r="E58" s="81"/>
    </row>
    <row r="59" spans="2:6">
      <c r="B59" s="16" t="s">
        <v>73</v>
      </c>
      <c r="C59" s="14" t="e">
        <f>IF(SUMSQ(#REF!)=0,"Hide","Show")</f>
        <v>#REF!</v>
      </c>
      <c r="D59" s="14" t="s">
        <v>7</v>
      </c>
      <c r="E59" s="81">
        <v>0</v>
      </c>
    </row>
    <row r="60" spans="2:6">
      <c r="B60" s="16" t="s">
        <v>95</v>
      </c>
      <c r="C60" s="14" t="e">
        <f>IF(SUMSQ(#REF!)=0,"Hide","Show")</f>
        <v>#REF!</v>
      </c>
      <c r="D60" s="14" t="s">
        <v>7</v>
      </c>
      <c r="E60" s="81">
        <v>0</v>
      </c>
    </row>
    <row r="61" spans="2:6">
      <c r="B61" s="16" t="s">
        <v>140</v>
      </c>
      <c r="C61" s="14" t="e">
        <f>IF(SUMSQ(#REF!)=0,"Hide","Show")</f>
        <v>#REF!</v>
      </c>
      <c r="D61" s="14" t="s">
        <v>7</v>
      </c>
      <c r="E61" s="81">
        <v>0</v>
      </c>
    </row>
    <row r="62" spans="2:6">
      <c r="B62" s="16" t="s">
        <v>90</v>
      </c>
      <c r="C62" s="14" t="e">
        <f>IF(SUMSQ(#REF!)=0,"Hide","Show")</f>
        <v>#REF!</v>
      </c>
      <c r="D62" s="14" t="s">
        <v>7</v>
      </c>
      <c r="E62" s="81">
        <v>1195125</v>
      </c>
      <c r="F62" s="111" t="s">
        <v>287</v>
      </c>
    </row>
    <row r="63" spans="2:6">
      <c r="B63" s="16" t="s">
        <v>165</v>
      </c>
      <c r="C63" s="14" t="e">
        <f>IF(SUMSQ(#REF!)=0,"Hide","Show")</f>
        <v>#REF!</v>
      </c>
      <c r="D63" s="14" t="s">
        <v>7</v>
      </c>
      <c r="E63" s="81">
        <v>0</v>
      </c>
    </row>
    <row r="64" spans="2:6">
      <c r="B64" s="16" t="s">
        <v>135</v>
      </c>
      <c r="C64" s="14" t="e">
        <f>IF(SUMSQ(#REF!)=0,"Hide","Show")</f>
        <v>#REF!</v>
      </c>
      <c r="D64" s="14" t="s">
        <v>7</v>
      </c>
      <c r="E64" s="81">
        <v>0</v>
      </c>
    </row>
    <row r="65" spans="2:6">
      <c r="B65" s="16" t="s">
        <v>68</v>
      </c>
      <c r="C65" s="14" t="e">
        <f>IF(SUMSQ(#REF!)=0,"Hide","Show")</f>
        <v>#REF!</v>
      </c>
      <c r="D65" s="14" t="s">
        <v>7</v>
      </c>
      <c r="E65" s="81">
        <v>0</v>
      </c>
    </row>
    <row r="66" spans="2:6">
      <c r="B66" s="16" t="s">
        <v>115</v>
      </c>
      <c r="C66" s="14" t="e">
        <f>IF(SUMSQ(#REF!)=0,"Hide","Show")</f>
        <v>#REF!</v>
      </c>
      <c r="D66" s="14" t="s">
        <v>7</v>
      </c>
      <c r="E66" s="81">
        <v>0</v>
      </c>
    </row>
    <row r="67" spans="2:6">
      <c r="B67" s="16" t="s">
        <v>78</v>
      </c>
      <c r="C67" s="14" t="e">
        <f>IF(SUMSQ(#REF!)=0,"Hide","Show")</f>
        <v>#REF!</v>
      </c>
      <c r="D67" s="14" t="s">
        <v>7</v>
      </c>
      <c r="E67" s="81">
        <v>0</v>
      </c>
    </row>
    <row r="68" spans="2:6">
      <c r="B68" s="16" t="s">
        <v>166</v>
      </c>
      <c r="C68" s="14" t="e">
        <f>IF(SUMSQ(#REF!)=0,"Hide","Show")</f>
        <v>#REF!</v>
      </c>
      <c r="D68" s="14" t="s">
        <v>7</v>
      </c>
      <c r="E68" s="81">
        <v>0</v>
      </c>
    </row>
    <row r="69" spans="2:6">
      <c r="B69" s="16" t="s">
        <v>138</v>
      </c>
      <c r="C69" s="14" t="e">
        <f>IF(SUMSQ(#REF!)=0,"Hide","Show")</f>
        <v>#REF!</v>
      </c>
      <c r="D69" s="14" t="s">
        <v>7</v>
      </c>
      <c r="E69" s="81">
        <v>0</v>
      </c>
    </row>
    <row r="70" spans="2:6">
      <c r="B70" s="16" t="s">
        <v>173</v>
      </c>
      <c r="C70" s="14" t="e">
        <f>IF(SUMSQ(#REF!)=0,"Hide","Show")</f>
        <v>#REF!</v>
      </c>
      <c r="D70" s="14" t="s">
        <v>7</v>
      </c>
      <c r="E70" s="81">
        <v>0</v>
      </c>
    </row>
    <row r="71" spans="2:6">
      <c r="B71" s="16" t="s">
        <v>98</v>
      </c>
      <c r="C71" s="14" t="e">
        <f>IF(SUMSQ(#REF!)=0,"Hide","Show")</f>
        <v>#REF!</v>
      </c>
      <c r="D71" s="14" t="s">
        <v>7</v>
      </c>
      <c r="E71" s="81">
        <v>0</v>
      </c>
    </row>
    <row r="72" spans="2:6">
      <c r="B72" s="16" t="s">
        <v>134</v>
      </c>
      <c r="C72" s="14" t="e">
        <f>IF(SUMSQ(#REF!)=0,"Hide","Show")</f>
        <v>#REF!</v>
      </c>
      <c r="D72" s="14" t="s">
        <v>7</v>
      </c>
      <c r="E72" s="81">
        <v>0</v>
      </c>
    </row>
    <row r="73" spans="2:6">
      <c r="B73" s="16" t="s">
        <v>13</v>
      </c>
      <c r="C73" s="14" t="e">
        <f>IF(SUMSQ(#REF!)=0,"Hide","Show")</f>
        <v>#REF!</v>
      </c>
      <c r="D73" s="14" t="s">
        <v>7</v>
      </c>
      <c r="E73" s="81">
        <v>214610.99</v>
      </c>
      <c r="F73" s="111" t="s">
        <v>287</v>
      </c>
    </row>
    <row r="74" spans="2:6">
      <c r="B74" s="16" t="s">
        <v>87</v>
      </c>
      <c r="C74" s="14" t="e">
        <f>IF(SUMSQ(#REF!)=0,"Hide","Show")</f>
        <v>#REF!</v>
      </c>
      <c r="D74" s="14" t="s">
        <v>7</v>
      </c>
      <c r="E74" s="81">
        <v>0</v>
      </c>
    </row>
    <row r="75" spans="2:6">
      <c r="B75" s="16" t="s">
        <v>84</v>
      </c>
      <c r="C75" s="14" t="e">
        <f>IF(SUMSQ(#REF!)=0,"Hide","Show")</f>
        <v>#REF!</v>
      </c>
      <c r="D75" s="14" t="s">
        <v>7</v>
      </c>
      <c r="E75" s="81">
        <v>0</v>
      </c>
    </row>
    <row r="76" spans="2:6" s="1" customFormat="1">
      <c r="B76" s="36" t="s">
        <v>123</v>
      </c>
      <c r="C76" s="20"/>
      <c r="D76" s="20" t="s">
        <v>7</v>
      </c>
      <c r="E76" s="83">
        <v>1409735.99</v>
      </c>
    </row>
    <row r="77" spans="2:6">
      <c r="B77" s="17"/>
      <c r="C77" s="31"/>
      <c r="D77" s="31"/>
      <c r="E77" s="81"/>
    </row>
    <row r="78" spans="2:6" s="1" customFormat="1">
      <c r="B78" s="37" t="s">
        <v>130</v>
      </c>
      <c r="C78" s="20"/>
      <c r="D78" s="20" t="s">
        <v>7</v>
      </c>
      <c r="E78" s="83">
        <v>1409735.99</v>
      </c>
    </row>
    <row r="79" spans="2:6" s="1" customFormat="1">
      <c r="B79" s="18"/>
      <c r="C79" s="38"/>
      <c r="D79" s="38"/>
      <c r="E79" s="81"/>
    </row>
    <row r="80" spans="2:6">
      <c r="B80" s="23" t="s">
        <v>14</v>
      </c>
      <c r="C80" s="21"/>
      <c r="D80" s="21"/>
      <c r="E80" s="81"/>
    </row>
    <row r="81" spans="2:6">
      <c r="B81" s="22" t="s">
        <v>109</v>
      </c>
      <c r="C81" s="14" t="e">
        <f>IF(SUMSQ(#REF!)=0,"Hide","Show")</f>
        <v>#REF!</v>
      </c>
      <c r="D81" s="14" t="s">
        <v>9</v>
      </c>
      <c r="E81" s="81">
        <v>0</v>
      </c>
    </row>
    <row r="82" spans="2:6" s="27" customFormat="1">
      <c r="B82" s="26" t="s">
        <v>118</v>
      </c>
      <c r="C82" s="25" t="e">
        <f>IF(SUMSQ(#REF!)=0,"Hide","Show")</f>
        <v>#REF!</v>
      </c>
      <c r="D82" s="25" t="s">
        <v>9</v>
      </c>
      <c r="E82" s="84">
        <v>0</v>
      </c>
    </row>
    <row r="83" spans="2:6" s="27" customFormat="1">
      <c r="B83" s="26" t="s">
        <v>81</v>
      </c>
      <c r="C83" s="25" t="e">
        <f>IF(SUMSQ(#REF!)=0,"Hide","Show")</f>
        <v>#REF!</v>
      </c>
      <c r="D83" s="25" t="s">
        <v>9</v>
      </c>
      <c r="E83" s="84">
        <v>0</v>
      </c>
    </row>
    <row r="84" spans="2:6" s="27" customFormat="1">
      <c r="B84" s="26" t="s">
        <v>122</v>
      </c>
      <c r="C84" s="25" t="e">
        <f>IF(SUMSQ(#REF!)=0,"Hide","Show")</f>
        <v>#REF!</v>
      </c>
      <c r="D84" s="25" t="s">
        <v>9</v>
      </c>
      <c r="E84" s="84">
        <v>0</v>
      </c>
    </row>
    <row r="85" spans="2:6" s="27" customFormat="1">
      <c r="B85" s="26" t="s">
        <v>160</v>
      </c>
      <c r="C85" s="25" t="e">
        <f>IF(SUMSQ(#REF!)=0,"Hide","Show")</f>
        <v>#REF!</v>
      </c>
      <c r="D85" s="25" t="s">
        <v>9</v>
      </c>
      <c r="E85" s="84">
        <v>1377.13</v>
      </c>
      <c r="F85" s="113" t="s">
        <v>293</v>
      </c>
    </row>
    <row r="86" spans="2:6">
      <c r="B86" s="22" t="s">
        <v>147</v>
      </c>
      <c r="C86" s="14" t="e">
        <f>IF(SUMSQ(#REF!)=0,"Hide","Show")</f>
        <v>#REF!</v>
      </c>
      <c r="D86" s="14" t="s">
        <v>9</v>
      </c>
      <c r="E86" s="81">
        <v>350</v>
      </c>
      <c r="F86" s="113" t="s">
        <v>290</v>
      </c>
    </row>
    <row r="87" spans="2:6">
      <c r="B87" s="22" t="s">
        <v>159</v>
      </c>
      <c r="C87" s="14" t="e">
        <f>IF(SUMSQ(#REF!)=0,"Hide","Show")</f>
        <v>#REF!</v>
      </c>
      <c r="D87" s="14" t="s">
        <v>9</v>
      </c>
      <c r="E87" s="81">
        <v>19071.189999999999</v>
      </c>
      <c r="F87" s="113" t="s">
        <v>293</v>
      </c>
    </row>
    <row r="88" spans="2:6">
      <c r="B88" s="22" t="s">
        <v>82</v>
      </c>
      <c r="C88" s="14" t="e">
        <f>IF(SUMSQ(#REF!)=0,"Hide","Show")</f>
        <v>#REF!</v>
      </c>
      <c r="D88" s="14" t="s">
        <v>9</v>
      </c>
      <c r="E88" s="81">
        <v>0</v>
      </c>
    </row>
    <row r="89" spans="2:6">
      <c r="B89" s="22" t="s">
        <v>124</v>
      </c>
      <c r="C89" s="14" t="e">
        <f>IF(SUMSQ(#REF!)=0,"Hide","Show")</f>
        <v>#REF!</v>
      </c>
      <c r="D89" s="14" t="s">
        <v>9</v>
      </c>
      <c r="E89" s="81">
        <v>0</v>
      </c>
    </row>
    <row r="90" spans="2:6">
      <c r="B90" s="22" t="s">
        <v>171</v>
      </c>
      <c r="C90" s="14" t="e">
        <f>IF(SUMSQ(#REF!)=0,"Hide","Show")</f>
        <v>#REF!</v>
      </c>
      <c r="D90" s="14" t="s">
        <v>9</v>
      </c>
      <c r="E90" s="81">
        <v>0</v>
      </c>
      <c r="F90" s="113" t="s">
        <v>289</v>
      </c>
    </row>
    <row r="91" spans="2:6">
      <c r="B91" s="22" t="s">
        <v>96</v>
      </c>
      <c r="C91" s="14" t="e">
        <f>IF(SUMSQ(#REF!)=0,"Hide","Show")</f>
        <v>#REF!</v>
      </c>
      <c r="D91" s="14" t="s">
        <v>9</v>
      </c>
      <c r="E91" s="81">
        <v>0</v>
      </c>
    </row>
    <row r="92" spans="2:6">
      <c r="B92" s="22" t="s">
        <v>170</v>
      </c>
      <c r="C92" s="14" t="e">
        <f>IF(SUMSQ(#REF!)=0,"Hide","Show")</f>
        <v>#REF!</v>
      </c>
      <c r="D92" s="14" t="s">
        <v>9</v>
      </c>
      <c r="E92" s="81">
        <v>183.6</v>
      </c>
      <c r="F92" s="113" t="s">
        <v>290</v>
      </c>
    </row>
    <row r="93" spans="2:6">
      <c r="B93" s="22" t="s">
        <v>131</v>
      </c>
      <c r="C93" s="14" t="e">
        <f>IF(SUMSQ(#REF!)=0,"Hide","Show")</f>
        <v>#REF!</v>
      </c>
      <c r="D93" s="14" t="s">
        <v>9</v>
      </c>
      <c r="E93" s="81">
        <v>260614.17</v>
      </c>
    </row>
    <row r="94" spans="2:6">
      <c r="B94" s="22" t="s">
        <v>148</v>
      </c>
      <c r="C94" s="14" t="e">
        <f>IF(SUMSQ(#REF!)=0,"Hide","Show")</f>
        <v>#REF!</v>
      </c>
      <c r="D94" s="14" t="s">
        <v>9</v>
      </c>
      <c r="E94" s="81">
        <v>34310.67</v>
      </c>
    </row>
    <row r="95" spans="2:6">
      <c r="B95" s="22" t="s">
        <v>103</v>
      </c>
      <c r="C95" s="14" t="e">
        <f>IF(SUMSQ(#REF!)=0,"Hide","Show")</f>
        <v>#REF!</v>
      </c>
      <c r="D95" s="14" t="s">
        <v>9</v>
      </c>
      <c r="E95" s="81">
        <v>1282370.2</v>
      </c>
      <c r="F95" s="113"/>
    </row>
    <row r="96" spans="2:6">
      <c r="B96" s="22" t="s">
        <v>162</v>
      </c>
      <c r="C96" s="14" t="e">
        <f>IF(SUMSQ(#REF!)=0,"Hide","Show")</f>
        <v>#REF!</v>
      </c>
      <c r="D96" s="14" t="s">
        <v>9</v>
      </c>
      <c r="E96" s="81">
        <v>0</v>
      </c>
    </row>
    <row r="97" spans="2:6">
      <c r="B97" s="22" t="s">
        <v>100</v>
      </c>
      <c r="C97" s="14" t="e">
        <f>IF(SUMSQ(#REF!)=0,"Hide","Show")</f>
        <v>#REF!</v>
      </c>
      <c r="D97" s="14" t="s">
        <v>9</v>
      </c>
      <c r="E97" s="81">
        <v>361.06</v>
      </c>
      <c r="F97" s="113" t="s">
        <v>293</v>
      </c>
    </row>
    <row r="98" spans="2:6">
      <c r="B98" s="22" t="s">
        <v>116</v>
      </c>
      <c r="C98" s="14" t="e">
        <f>IF(SUMSQ(#REF!)=0,"Hide","Show")</f>
        <v>#REF!</v>
      </c>
      <c r="D98" s="14" t="s">
        <v>9</v>
      </c>
      <c r="E98" s="81">
        <v>417</v>
      </c>
      <c r="F98" s="113" t="s">
        <v>290</v>
      </c>
    </row>
    <row r="99" spans="2:6">
      <c r="B99" s="22" t="s">
        <v>125</v>
      </c>
      <c r="C99" s="14" t="e">
        <f>IF(SUMSQ(#REF!)=0,"Hide","Show")</f>
        <v>#REF!</v>
      </c>
      <c r="D99" s="14" t="s">
        <v>9</v>
      </c>
      <c r="E99" s="81">
        <v>0</v>
      </c>
    </row>
    <row r="100" spans="2:6">
      <c r="B100" s="22" t="s">
        <v>102</v>
      </c>
      <c r="C100" s="14" t="e">
        <f>IF(SUMSQ(#REF!)=0,"Hide","Show")</f>
        <v>#REF!</v>
      </c>
      <c r="D100" s="14" t="s">
        <v>9</v>
      </c>
      <c r="E100" s="81">
        <v>250.03</v>
      </c>
      <c r="F100" s="113" t="s">
        <v>290</v>
      </c>
    </row>
    <row r="101" spans="2:6">
      <c r="B101" s="22" t="s">
        <v>117</v>
      </c>
      <c r="C101" s="14" t="e">
        <f>IF(SUMSQ(#REF!)=0,"Hide","Show")</f>
        <v>#REF!</v>
      </c>
      <c r="D101" s="14" t="s">
        <v>9</v>
      </c>
      <c r="E101" s="81">
        <v>0</v>
      </c>
    </row>
    <row r="102" spans="2:6">
      <c r="B102" s="22" t="s">
        <v>99</v>
      </c>
      <c r="C102" s="14" t="e">
        <f>IF(SUMSQ(#REF!)=0,"Hide","Show")</f>
        <v>#REF!</v>
      </c>
      <c r="D102" s="14" t="s">
        <v>9</v>
      </c>
      <c r="E102" s="81">
        <v>0</v>
      </c>
    </row>
    <row r="103" spans="2:6">
      <c r="B103" s="22" t="s">
        <v>113</v>
      </c>
      <c r="C103" s="14" t="e">
        <f>IF(SUMSQ(#REF!)=0,"Hide","Show")</f>
        <v>#REF!</v>
      </c>
      <c r="D103" s="14" t="s">
        <v>9</v>
      </c>
      <c r="E103" s="81">
        <v>0</v>
      </c>
    </row>
    <row r="104" spans="2:6">
      <c r="B104" s="22" t="s">
        <v>112</v>
      </c>
      <c r="C104" s="14" t="e">
        <f>IF(SUMSQ(#REF!)=0,"Hide","Show")</f>
        <v>#REF!</v>
      </c>
      <c r="D104" s="14" t="s">
        <v>9</v>
      </c>
      <c r="E104" s="81">
        <v>0</v>
      </c>
    </row>
    <row r="105" spans="2:6">
      <c r="B105" s="22" t="s">
        <v>157</v>
      </c>
      <c r="C105" s="14" t="e">
        <f>IF(SUMSQ(#REF!)=0,"Hide","Show")</f>
        <v>#REF!</v>
      </c>
      <c r="D105" s="14" t="s">
        <v>9</v>
      </c>
      <c r="E105" s="81">
        <v>30848.520000000004</v>
      </c>
      <c r="F105" s="113" t="s">
        <v>293</v>
      </c>
    </row>
    <row r="106" spans="2:6">
      <c r="B106" s="22" t="s">
        <v>158</v>
      </c>
      <c r="C106" s="14" t="e">
        <f>IF(SUMSQ(#REF!)=0,"Hide","Show")</f>
        <v>#REF!</v>
      </c>
      <c r="D106" s="14" t="s">
        <v>9</v>
      </c>
      <c r="E106" s="81">
        <v>1954.56</v>
      </c>
      <c r="F106" s="113" t="s">
        <v>293</v>
      </c>
    </row>
    <row r="107" spans="2:6">
      <c r="B107" s="22" t="s">
        <v>93</v>
      </c>
      <c r="C107" s="14" t="e">
        <f>IF(SUMSQ(#REF!)=0,"Hide","Show")</f>
        <v>#REF!</v>
      </c>
      <c r="D107" s="14" t="s">
        <v>9</v>
      </c>
      <c r="E107" s="81">
        <v>6400</v>
      </c>
      <c r="F107" s="113" t="s">
        <v>293</v>
      </c>
    </row>
    <row r="108" spans="2:6">
      <c r="B108" s="22" t="s">
        <v>76</v>
      </c>
      <c r="C108" s="14" t="e">
        <f>IF(SUMSQ(#REF!)=0,"Hide","Show")</f>
        <v>#REF!</v>
      </c>
      <c r="D108" s="14" t="s">
        <v>9</v>
      </c>
      <c r="E108" s="81">
        <v>6113.03</v>
      </c>
      <c r="F108" s="113" t="s">
        <v>293</v>
      </c>
    </row>
    <row r="109" spans="2:6">
      <c r="B109" s="22" t="s">
        <v>153</v>
      </c>
      <c r="C109" s="14" t="e">
        <f>IF(SUMSQ(#REF!)=0,"Hide","Show")</f>
        <v>#REF!</v>
      </c>
      <c r="D109" s="14" t="s">
        <v>9</v>
      </c>
      <c r="E109" s="81">
        <v>993.82</v>
      </c>
      <c r="F109" s="113" t="s">
        <v>290</v>
      </c>
    </row>
    <row r="110" spans="2:6">
      <c r="B110" s="22" t="s">
        <v>132</v>
      </c>
      <c r="C110" s="14" t="e">
        <f>IF(SUMSQ(#REF!)=0,"Hide","Show")</f>
        <v>#REF!</v>
      </c>
      <c r="D110" s="14" t="s">
        <v>9</v>
      </c>
      <c r="E110" s="81">
        <v>0</v>
      </c>
    </row>
    <row r="111" spans="2:6">
      <c r="B111" s="22" t="s">
        <v>85</v>
      </c>
      <c r="C111" s="14"/>
      <c r="D111" s="14" t="s">
        <v>9</v>
      </c>
      <c r="E111" s="81">
        <v>0</v>
      </c>
    </row>
    <row r="112" spans="2:6">
      <c r="B112" s="22" t="s">
        <v>72</v>
      </c>
      <c r="C112" s="14" t="e">
        <f>IF(SUMSQ(#REF!)=0,"Hide","Show")</f>
        <v>#REF!</v>
      </c>
      <c r="D112" s="14" t="s">
        <v>9</v>
      </c>
      <c r="E112" s="81">
        <v>0</v>
      </c>
      <c r="F112" s="113" t="s">
        <v>289</v>
      </c>
    </row>
    <row r="113" spans="2:6">
      <c r="B113" s="22" t="s">
        <v>169</v>
      </c>
      <c r="C113" s="14" t="e">
        <f>IF(SUMSQ(#REF!)=0,"Hide","Show")</f>
        <v>#REF!</v>
      </c>
      <c r="D113" s="14" t="s">
        <v>9</v>
      </c>
      <c r="E113" s="81">
        <v>0</v>
      </c>
    </row>
    <row r="114" spans="2:6">
      <c r="B114" s="22" t="s">
        <v>74</v>
      </c>
      <c r="C114" s="14" t="e">
        <f>IF(SUMSQ(#REF!)=0,"Hide","Show")</f>
        <v>#REF!</v>
      </c>
      <c r="D114" s="14" t="s">
        <v>9</v>
      </c>
      <c r="E114" s="81">
        <v>0</v>
      </c>
    </row>
    <row r="115" spans="2:6">
      <c r="B115" s="22" t="s">
        <v>83</v>
      </c>
      <c r="C115" s="14" t="e">
        <f>IF(SUMSQ(#REF!)=0,"Hide","Show")</f>
        <v>#REF!</v>
      </c>
      <c r="D115" s="14" t="s">
        <v>9</v>
      </c>
      <c r="E115" s="81">
        <v>0</v>
      </c>
    </row>
    <row r="116" spans="2:6">
      <c r="B116" s="22" t="s">
        <v>167</v>
      </c>
      <c r="C116" s="14" t="e">
        <f>IF(SUMSQ(#REF!)=0,"Hide","Show")</f>
        <v>#REF!</v>
      </c>
      <c r="D116" s="14" t="s">
        <v>9</v>
      </c>
      <c r="E116" s="81">
        <v>0</v>
      </c>
    </row>
    <row r="117" spans="2:6">
      <c r="B117" s="22" t="s">
        <v>152</v>
      </c>
      <c r="C117" s="14" t="e">
        <f>IF(SUMSQ(#REF!)=0,"Hide","Show")</f>
        <v>#REF!</v>
      </c>
      <c r="D117" s="14" t="s">
        <v>9</v>
      </c>
      <c r="E117" s="81">
        <v>0</v>
      </c>
    </row>
    <row r="118" spans="2:6">
      <c r="B118" s="22" t="s">
        <v>119</v>
      </c>
      <c r="C118" s="14" t="e">
        <f>IF(SUMSQ(#REF!)=0,"Hide","Show")</f>
        <v>#REF!</v>
      </c>
      <c r="D118" s="14" t="s">
        <v>9</v>
      </c>
      <c r="E118" s="81">
        <v>556601.03</v>
      </c>
      <c r="F118" s="113" t="s">
        <v>289</v>
      </c>
    </row>
    <row r="119" spans="2:6">
      <c r="B119" s="22" t="s">
        <v>91</v>
      </c>
      <c r="C119" s="14" t="e">
        <f>IF(SUMSQ(#REF!)=0,"Hide","Show")</f>
        <v>#REF!</v>
      </c>
      <c r="D119" s="14" t="s">
        <v>9</v>
      </c>
      <c r="E119" s="81">
        <v>63822.9</v>
      </c>
      <c r="F119" s="113" t="s">
        <v>289</v>
      </c>
    </row>
    <row r="120" spans="2:6">
      <c r="B120" s="22" t="s">
        <v>168</v>
      </c>
      <c r="C120" s="14" t="e">
        <f>IF(SUMSQ(#REF!)=0,"Hide","Show")</f>
        <v>#REF!</v>
      </c>
      <c r="D120" s="14" t="s">
        <v>9</v>
      </c>
      <c r="E120" s="81">
        <v>0</v>
      </c>
    </row>
    <row r="121" spans="2:6">
      <c r="B121" s="22" t="s">
        <v>70</v>
      </c>
      <c r="C121" s="14" t="e">
        <f>IF(SUMSQ(#REF!)=0,"Hide","Show")</f>
        <v>#REF!</v>
      </c>
      <c r="D121" s="14" t="s">
        <v>9</v>
      </c>
      <c r="E121" s="81">
        <v>0</v>
      </c>
      <c r="F121" s="113" t="s">
        <v>290</v>
      </c>
    </row>
    <row r="122" spans="2:6">
      <c r="B122" s="22" t="s">
        <v>69</v>
      </c>
      <c r="C122" s="14" t="e">
        <f>IF(SUMSQ(#REF!)=0,"Hide","Show")</f>
        <v>#REF!</v>
      </c>
      <c r="D122" s="14" t="s">
        <v>9</v>
      </c>
      <c r="E122" s="81">
        <v>0</v>
      </c>
    </row>
    <row r="123" spans="2:6">
      <c r="B123" s="22" t="s">
        <v>75</v>
      </c>
      <c r="C123" s="14" t="e">
        <f>IF(SUMSQ(#REF!)=0,"Hide","Show")</f>
        <v>#REF!</v>
      </c>
      <c r="D123" s="14" t="s">
        <v>9</v>
      </c>
      <c r="E123" s="81">
        <v>89288.300000000017</v>
      </c>
      <c r="F123" s="113" t="s">
        <v>293</v>
      </c>
    </row>
    <row r="124" spans="2:6">
      <c r="B124" s="22" t="s">
        <v>101</v>
      </c>
      <c r="C124" s="14" t="e">
        <f>IF(SUMSQ(#REF!)=0,"Hide","Show")</f>
        <v>#REF!</v>
      </c>
      <c r="D124" s="14" t="s">
        <v>9</v>
      </c>
      <c r="E124" s="81">
        <v>0</v>
      </c>
    </row>
    <row r="125" spans="2:6" s="1" customFormat="1">
      <c r="B125" s="39" t="s">
        <v>14</v>
      </c>
      <c r="C125" s="20"/>
      <c r="D125" s="20" t="s">
        <v>9</v>
      </c>
      <c r="E125" s="83">
        <v>2355327.21</v>
      </c>
    </row>
    <row r="126" spans="2:6" s="1" customFormat="1">
      <c r="B126" s="18"/>
      <c r="C126" s="38"/>
      <c r="D126" s="38"/>
      <c r="E126" s="81"/>
    </row>
    <row r="127" spans="2:6" s="1" customFormat="1">
      <c r="B127" s="40" t="s">
        <v>151</v>
      </c>
      <c r="C127" s="20"/>
      <c r="D127" s="20" t="s">
        <v>7</v>
      </c>
      <c r="E127" s="83">
        <v>-945591.21999999986</v>
      </c>
    </row>
    <row r="128" spans="2:6">
      <c r="B128" s="32"/>
      <c r="C128" s="41"/>
      <c r="D128" s="41"/>
      <c r="E128" s="81"/>
    </row>
    <row r="129" spans="2:6">
      <c r="B129" s="32" t="s">
        <v>52</v>
      </c>
      <c r="C129" s="14" t="e">
        <f>IF(SUMSQ(#REF!)=0,"Hide","Show")</f>
        <v>#REF!</v>
      </c>
      <c r="D129" s="14" t="s">
        <v>9</v>
      </c>
      <c r="E129" s="81">
        <v>0</v>
      </c>
    </row>
    <row r="130" spans="2:6">
      <c r="B130" s="32" t="s">
        <v>111</v>
      </c>
      <c r="C130" s="14" t="e">
        <f>IF(SUMSQ(#REF!)=0,"Hide","Show")</f>
        <v>#REF!</v>
      </c>
      <c r="D130" s="14" t="s">
        <v>9</v>
      </c>
      <c r="E130" s="81">
        <v>-4530.7000000000016</v>
      </c>
      <c r="F130" s="111" t="s">
        <v>292</v>
      </c>
    </row>
    <row r="131" spans="2:6">
      <c r="B131" s="32" t="s">
        <v>133</v>
      </c>
      <c r="C131" s="14" t="e">
        <f>IF(SUMSQ(#REF!)=0,"Hide","Show")</f>
        <v>#REF!</v>
      </c>
      <c r="D131" s="14" t="s">
        <v>9</v>
      </c>
      <c r="E131" s="81">
        <v>0</v>
      </c>
    </row>
    <row r="132" spans="2:6">
      <c r="B132" s="32" t="s">
        <v>110</v>
      </c>
      <c r="C132" s="14" t="e">
        <f>IF(SUMSQ(#REF!)=0,"Hide","Show")</f>
        <v>#REF!</v>
      </c>
      <c r="D132" s="14" t="s">
        <v>9</v>
      </c>
      <c r="E132" s="81">
        <v>6902.1699999999992</v>
      </c>
      <c r="F132" s="113" t="s">
        <v>291</v>
      </c>
    </row>
    <row r="133" spans="2:6">
      <c r="B133" s="17"/>
      <c r="C133" s="31"/>
      <c r="D133" s="31"/>
      <c r="E133" s="81"/>
    </row>
    <row r="134" spans="2:6" s="1" customFormat="1">
      <c r="B134" s="42" t="s">
        <v>143</v>
      </c>
      <c r="C134" s="20"/>
      <c r="D134" s="20" t="s">
        <v>7</v>
      </c>
      <c r="E134" s="83">
        <v>-947962.68999999983</v>
      </c>
    </row>
    <row r="135" spans="2:6">
      <c r="B135" s="33"/>
      <c r="C135" s="43"/>
      <c r="D135" s="43"/>
      <c r="E135" s="81"/>
    </row>
    <row r="136" spans="2:6">
      <c r="B136" s="33" t="s">
        <v>67</v>
      </c>
      <c r="C136" s="14"/>
      <c r="D136" s="14" t="s">
        <v>9</v>
      </c>
      <c r="E136" s="81">
        <v>0</v>
      </c>
    </row>
    <row r="137" spans="2:6">
      <c r="B137" s="33" t="s">
        <v>92</v>
      </c>
      <c r="C137" s="14"/>
      <c r="D137" s="14" t="s">
        <v>9</v>
      </c>
      <c r="E137" s="81">
        <v>0</v>
      </c>
    </row>
    <row r="138" spans="2:6">
      <c r="B138" s="33"/>
      <c r="C138" s="43"/>
      <c r="D138" s="43"/>
      <c r="E138" s="81"/>
    </row>
    <row r="139" spans="2:6" s="1" customFormat="1">
      <c r="B139" s="44" t="s">
        <v>97</v>
      </c>
      <c r="C139" s="20"/>
      <c r="D139" s="20" t="s">
        <v>7</v>
      </c>
      <c r="E139" s="83">
        <v>-947962.68999999983</v>
      </c>
    </row>
    <row r="140" spans="2:6">
      <c r="B140" s="33"/>
      <c r="C140" s="43"/>
      <c r="D140" s="43"/>
      <c r="E140" s="81"/>
    </row>
    <row r="141" spans="2:6">
      <c r="B141" s="34" t="s">
        <v>127</v>
      </c>
      <c r="C141" s="14"/>
      <c r="D141" s="14" t="s">
        <v>9</v>
      </c>
      <c r="E141" s="81">
        <v>0</v>
      </c>
    </row>
    <row r="142" spans="2:6">
      <c r="B142" s="34" t="s">
        <v>120</v>
      </c>
      <c r="C142" s="14"/>
      <c r="D142" s="14" t="s">
        <v>9</v>
      </c>
      <c r="E142" s="82">
        <v>0</v>
      </c>
    </row>
    <row r="143" spans="2:6">
      <c r="B143" s="33"/>
      <c r="C143" s="43"/>
      <c r="D143" s="43"/>
      <c r="E143" s="81"/>
    </row>
    <row r="144" spans="2:6" s="1" customFormat="1">
      <c r="B144" s="45" t="s">
        <v>80</v>
      </c>
      <c r="C144" s="20"/>
      <c r="D144" s="20" t="s">
        <v>7</v>
      </c>
      <c r="E144" s="83">
        <v>-947962.68999999983</v>
      </c>
    </row>
    <row r="145" spans="2:5">
      <c r="B145" s="33"/>
      <c r="C145" s="43"/>
      <c r="D145" s="43"/>
      <c r="E145" s="81"/>
    </row>
    <row r="146" spans="2:5">
      <c r="B146" s="35" t="s">
        <v>79</v>
      </c>
      <c r="C146" s="46"/>
      <c r="D146" s="46" t="s">
        <v>9</v>
      </c>
      <c r="E146" s="81">
        <v>0</v>
      </c>
    </row>
    <row r="147" spans="2:5">
      <c r="B147" s="33"/>
      <c r="C147" s="43"/>
      <c r="D147" s="43"/>
      <c r="E147" s="81"/>
    </row>
    <row r="148" spans="2:5" s="1" customFormat="1">
      <c r="B148" s="47" t="s">
        <v>139</v>
      </c>
      <c r="C148" s="20"/>
      <c r="D148" s="20" t="s">
        <v>7</v>
      </c>
      <c r="E148" s="83">
        <v>-947962.68999999983</v>
      </c>
    </row>
    <row r="149" spans="2:5">
      <c r="C149" s="48"/>
      <c r="E149" s="82"/>
    </row>
    <row r="150" spans="2:5">
      <c r="C150" s="48"/>
    </row>
    <row r="151" spans="2:5">
      <c r="C151" s="48"/>
    </row>
    <row r="152" spans="2:5">
      <c r="C152" s="48"/>
    </row>
    <row r="153" spans="2:5">
      <c r="C153" s="48"/>
    </row>
    <row r="154" spans="2:5">
      <c r="C154" s="48"/>
    </row>
    <row r="155" spans="2:5">
      <c r="C155" s="48"/>
    </row>
    <row r="156" spans="2:5">
      <c r="C156" s="48"/>
    </row>
    <row r="157" spans="2:5">
      <c r="C157" s="48"/>
    </row>
    <row r="158" spans="2:5">
      <c r="C158" s="48"/>
    </row>
    <row r="159" spans="2:5">
      <c r="C159" s="48"/>
    </row>
    <row r="160" spans="2:5">
      <c r="C160" s="48"/>
    </row>
    <row r="161" spans="3:3">
      <c r="C161" s="48"/>
    </row>
    <row r="162" spans="3:3">
      <c r="C162" s="48"/>
    </row>
    <row r="163" spans="3:3">
      <c r="C163" s="48"/>
    </row>
    <row r="164" spans="3:3">
      <c r="C164" s="48"/>
    </row>
    <row r="165" spans="3:3">
      <c r="C165" s="48"/>
    </row>
    <row r="166" spans="3:3">
      <c r="C166" s="48"/>
    </row>
    <row r="167" spans="3:3">
      <c r="C167" s="48"/>
    </row>
    <row r="168" spans="3:3">
      <c r="C168" s="48"/>
    </row>
    <row r="169" spans="3:3">
      <c r="C169" s="48"/>
    </row>
    <row r="170" spans="3:3">
      <c r="C170" s="48"/>
    </row>
    <row r="171" spans="3:3">
      <c r="C171" s="48"/>
    </row>
    <row r="172" spans="3:3">
      <c r="C172" s="48"/>
    </row>
    <row r="173" spans="3:3">
      <c r="C173" s="48"/>
    </row>
    <row r="174" spans="3:3">
      <c r="C174" s="48"/>
    </row>
    <row r="175" spans="3:3">
      <c r="C175" s="48"/>
    </row>
    <row r="176" spans="3:3">
      <c r="C176" s="48"/>
    </row>
    <row r="177" spans="3:3">
      <c r="C177" s="48"/>
    </row>
    <row r="178" spans="3:3">
      <c r="C178" s="48"/>
    </row>
    <row r="179" spans="3:3">
      <c r="C179" s="48"/>
    </row>
    <row r="180" spans="3:3">
      <c r="C180" s="48"/>
    </row>
    <row r="181" spans="3:3">
      <c r="C181" s="48"/>
    </row>
  </sheetData>
  <autoFilter ref="B11:E151" xr:uid="{EBEE2F2A-69A5-41ED-85A1-42E1D0EFE013}">
    <filterColumn colId="1">
      <filters blank="1">
        <filter val="Show"/>
      </filters>
    </filterColumn>
  </autoFilter>
  <dataValidations count="2">
    <dataValidation type="list" errorStyle="information" operator="equal" allowBlank="1" showInputMessage="1" sqref="B79:B80 E11:E13 B126 B55 B41:B42 B133 B34:B35 B145 B135 B143 B46:B47 B147 B140 B138 B32 B18:B19 B77 B39 B128 B57:B58 C14:E148" xr:uid="{8001EED6-5EC1-44EF-8CD3-4FEAC68CDBBF}">
      <formula1>"6739674C-F41D-4F0B-8A6E-DBB970089451"</formula1>
    </dataValidation>
    <dataValidation type="list" errorStyle="information" operator="equal" allowBlank="1" showInputMessage="1" sqref="C1:D10 B6:B10" xr:uid="{8DF34DEE-02AF-41DD-8623-6A358CDE8737}">
      <formula1>"C62927B5-C25E-475A-98EB-2AC6107D48B4"</formula1>
    </dataValidation>
  </dataValidations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9150-5B32-44B0-B72F-A981CEB80778}">
  <sheetPr filterMode="1">
    <tabColor theme="3" tint="0.249977111117893"/>
  </sheetPr>
  <dimension ref="B1:S218"/>
  <sheetViews>
    <sheetView zoomScale="85" zoomScaleNormal="85" workbookViewId="0">
      <selection activeCell="D9" sqref="D9"/>
    </sheetView>
  </sheetViews>
  <sheetFormatPr defaultRowHeight="15" outlineLevelRow="1" outlineLevelCol="1"/>
  <cols>
    <col min="1" max="1" width="3.42578125" customWidth="1"/>
    <col min="2" max="2" width="69.5703125" customWidth="1"/>
    <col min="3" max="3" width="3.85546875" customWidth="1"/>
    <col min="4" max="4" width="13.7109375" customWidth="1"/>
    <col min="5" max="5" width="16.7109375" customWidth="1"/>
    <col min="6" max="11" width="16.7109375" customWidth="1" outlineLevel="1"/>
    <col min="12" max="17" width="12" customWidth="1" outlineLevel="1"/>
    <col min="18" max="18" width="15.140625" customWidth="1" outlineLevel="1"/>
    <col min="19" max="19" width="13.28515625" customWidth="1" outlineLevel="1"/>
  </cols>
  <sheetData>
    <row r="1" spans="2:18" outlineLevel="1">
      <c r="B1" s="53" t="s">
        <v>2</v>
      </c>
      <c r="C1" s="3"/>
      <c r="D1" s="49"/>
      <c r="E1" s="3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2:18" outlineLevel="1">
      <c r="B2" s="53" t="s">
        <v>55</v>
      </c>
      <c r="C2" s="3"/>
      <c r="D2" s="49"/>
      <c r="E2" s="3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2:18" outlineLevel="1">
      <c r="B3" s="53" t="s">
        <v>54</v>
      </c>
      <c r="C3" s="3"/>
      <c r="D3" s="49"/>
      <c r="E3" s="3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2:18" outlineLevel="1">
      <c r="B4" s="53" t="s">
        <v>1</v>
      </c>
      <c r="C4" s="3"/>
      <c r="D4" s="49"/>
      <c r="E4" s="3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2:18" outlineLevel="1">
      <c r="B5" s="53" t="s">
        <v>53</v>
      </c>
      <c r="C5" s="3"/>
      <c r="D5" s="49"/>
      <c r="E5" s="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2:18">
      <c r="B6" s="3"/>
      <c r="C6" s="3"/>
      <c r="D6" s="49"/>
      <c r="E6" s="3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2:18" ht="21">
      <c r="B7" s="7" t="s">
        <v>295</v>
      </c>
      <c r="C7" s="7"/>
      <c r="D7" s="49"/>
      <c r="E7" s="7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2:18" ht="18.75">
      <c r="B8" s="8" t="s">
        <v>296</v>
      </c>
      <c r="C8" s="8"/>
      <c r="D8" s="49"/>
      <c r="E8" s="8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2:18">
      <c r="B9" s="3" t="s">
        <v>3</v>
      </c>
      <c r="C9" s="3"/>
      <c r="D9" s="9" t="s">
        <v>298</v>
      </c>
      <c r="E9" s="3"/>
      <c r="F9" s="49"/>
      <c r="G9" s="60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18">
      <c r="B10" s="3"/>
      <c r="C10" s="3"/>
      <c r="D10" s="9" t="s">
        <v>294</v>
      </c>
      <c r="E10" s="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 spans="2:18">
      <c r="B11" s="49"/>
      <c r="C11" s="49"/>
      <c r="D11" s="61" t="s">
        <v>0</v>
      </c>
      <c r="E11" s="62"/>
      <c r="F11" s="61" t="s">
        <v>0</v>
      </c>
      <c r="G11" s="61" t="s">
        <v>0</v>
      </c>
      <c r="H11" s="61" t="s">
        <v>0</v>
      </c>
      <c r="I11" s="61" t="s">
        <v>0</v>
      </c>
      <c r="J11" s="61" t="s">
        <v>0</v>
      </c>
      <c r="K11" s="61" t="s">
        <v>0</v>
      </c>
      <c r="L11" s="61" t="s">
        <v>0</v>
      </c>
      <c r="M11" s="61" t="s">
        <v>0</v>
      </c>
      <c r="N11" s="61" t="s">
        <v>0</v>
      </c>
      <c r="O11" s="61" t="s">
        <v>0</v>
      </c>
      <c r="P11" s="51" t="s">
        <v>0</v>
      </c>
      <c r="Q11" s="51" t="s">
        <v>0</v>
      </c>
      <c r="R11" s="51" t="s">
        <v>0</v>
      </c>
    </row>
    <row r="12" spans="2:18">
      <c r="B12" s="56" t="s">
        <v>4</v>
      </c>
      <c r="C12" s="9" t="s">
        <v>5</v>
      </c>
      <c r="D12" s="61" t="s">
        <v>57</v>
      </c>
      <c r="E12" s="62"/>
      <c r="F12" s="61" t="s">
        <v>199</v>
      </c>
      <c r="G12" s="61" t="s">
        <v>63</v>
      </c>
      <c r="H12" s="61" t="s">
        <v>58</v>
      </c>
      <c r="I12" s="61" t="s">
        <v>62</v>
      </c>
      <c r="J12" s="61" t="s">
        <v>56</v>
      </c>
      <c r="K12" s="61" t="s">
        <v>65</v>
      </c>
      <c r="L12" s="61" t="s">
        <v>66</v>
      </c>
      <c r="M12" s="61" t="s">
        <v>60</v>
      </c>
      <c r="N12" s="61" t="s">
        <v>59</v>
      </c>
      <c r="O12" s="61" t="s">
        <v>61</v>
      </c>
      <c r="P12" s="51" t="s">
        <v>51</v>
      </c>
      <c r="Q12" s="51" t="s">
        <v>64</v>
      </c>
      <c r="R12" s="51" t="s">
        <v>57</v>
      </c>
    </row>
    <row r="13" spans="2:18">
      <c r="B13" s="49"/>
      <c r="C13" s="49"/>
      <c r="D13" s="86"/>
      <c r="E13" s="88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</row>
    <row r="14" spans="2:18">
      <c r="B14" s="23" t="s">
        <v>15</v>
      </c>
      <c r="C14" s="23"/>
      <c r="D14" s="89"/>
      <c r="E14" s="91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</row>
    <row r="15" spans="2:18">
      <c r="D15" s="92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</row>
    <row r="16" spans="2:18">
      <c r="B16" s="34" t="s">
        <v>226</v>
      </c>
      <c r="C16" s="14" t="str">
        <f>IF(SUMSQ(F16:R16)=0,"Hide","Show")</f>
        <v>Hide</v>
      </c>
      <c r="D16" s="89">
        <v>0</v>
      </c>
      <c r="E16" s="94"/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</row>
    <row r="17" spans="2:18" outlineLevel="1">
      <c r="B17" s="33" t="s">
        <v>215</v>
      </c>
      <c r="C17" s="14" t="str">
        <f>IF(SUMSQ(F17:R17)=0,"Hide","Show")</f>
        <v>Hide</v>
      </c>
      <c r="D17" s="89">
        <v>0</v>
      </c>
      <c r="E17" s="95"/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</row>
    <row r="18" spans="2:18" outlineLevel="1">
      <c r="B18" s="33"/>
      <c r="C18" s="33"/>
      <c r="D18" s="89"/>
      <c r="E18" s="95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</row>
    <row r="19" spans="2:18">
      <c r="B19" s="34" t="s">
        <v>210</v>
      </c>
      <c r="C19" s="14" t="str">
        <f t="shared" ref="C19:C21" si="0">IF(SUMSQ(F19:R19)=0,"Hide","Show")</f>
        <v>Show</v>
      </c>
      <c r="D19" s="89">
        <v>18434.570000000302</v>
      </c>
      <c r="E19" s="94"/>
      <c r="F19" s="90">
        <v>218732.27</v>
      </c>
      <c r="G19" s="90">
        <v>173536.75</v>
      </c>
      <c r="H19" s="90">
        <v>29026.3500000001</v>
      </c>
      <c r="I19" s="90">
        <v>34749.939999999799</v>
      </c>
      <c r="J19" s="90">
        <v>68879.929999999804</v>
      </c>
      <c r="K19" s="90">
        <v>177149.63</v>
      </c>
      <c r="L19" s="90">
        <v>117617.71</v>
      </c>
      <c r="M19" s="90">
        <v>17591.219999999801</v>
      </c>
      <c r="N19" s="90">
        <v>20287.499999999902</v>
      </c>
      <c r="O19" s="90">
        <v>78891.009999999995</v>
      </c>
      <c r="P19" s="90">
        <v>26715.4000000001</v>
      </c>
      <c r="Q19" s="90">
        <v>17862.759999999998</v>
      </c>
      <c r="R19" s="90">
        <v>18434.570000000302</v>
      </c>
    </row>
    <row r="20" spans="2:18" outlineLevel="1">
      <c r="B20" s="33" t="s">
        <v>197</v>
      </c>
      <c r="C20" s="14" t="str">
        <f t="shared" si="0"/>
        <v>Show</v>
      </c>
      <c r="D20" s="89">
        <v>18434.570000000302</v>
      </c>
      <c r="E20" s="95"/>
      <c r="F20" s="90">
        <v>218732.27</v>
      </c>
      <c r="G20" s="90">
        <v>173536.75</v>
      </c>
      <c r="H20" s="90">
        <v>29026.3500000001</v>
      </c>
      <c r="I20" s="90">
        <v>34749.939999999799</v>
      </c>
      <c r="J20" s="90">
        <v>68879.929999999804</v>
      </c>
      <c r="K20" s="90">
        <v>177149.63</v>
      </c>
      <c r="L20" s="90">
        <v>117617.71</v>
      </c>
      <c r="M20" s="90">
        <v>17591.219999999801</v>
      </c>
      <c r="N20" s="90">
        <v>20287.499999999902</v>
      </c>
      <c r="O20" s="90">
        <v>78891.009999999995</v>
      </c>
      <c r="P20" s="90">
        <v>26715.4000000001</v>
      </c>
      <c r="Q20" s="90">
        <v>17862.759999999998</v>
      </c>
      <c r="R20" s="90">
        <v>18434.570000000302</v>
      </c>
    </row>
    <row r="21" spans="2:18" outlineLevel="1">
      <c r="B21" s="33" t="s">
        <v>240</v>
      </c>
      <c r="C21" s="14" t="str">
        <f t="shared" si="0"/>
        <v>Hide</v>
      </c>
      <c r="D21" s="89">
        <v>0</v>
      </c>
      <c r="E21" s="95"/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</row>
    <row r="22" spans="2:18" outlineLevel="1">
      <c r="B22" s="33"/>
      <c r="C22" s="33"/>
      <c r="D22" s="89"/>
      <c r="E22" s="95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</row>
    <row r="23" spans="2:18">
      <c r="B23" s="34" t="s">
        <v>189</v>
      </c>
      <c r="C23" s="14" t="str">
        <f t="shared" ref="C23:C28" si="1">IF(SUMSQ(F23:R23)=0,"Hide","Show")</f>
        <v>Show</v>
      </c>
      <c r="D23" s="89">
        <v>994667.28</v>
      </c>
      <c r="E23" s="94"/>
      <c r="F23" s="90">
        <v>25000</v>
      </c>
      <c r="G23" s="90">
        <v>24900</v>
      </c>
      <c r="H23" s="90">
        <v>194386.01</v>
      </c>
      <c r="I23" s="90">
        <v>0</v>
      </c>
      <c r="J23" s="90">
        <v>0</v>
      </c>
      <c r="K23" s="90">
        <v>0</v>
      </c>
      <c r="L23" s="90">
        <v>0</v>
      </c>
      <c r="M23" s="90">
        <v>123234.56</v>
      </c>
      <c r="N23" s="90">
        <v>232776.14</v>
      </c>
      <c r="O23" s="90">
        <v>660441.21</v>
      </c>
      <c r="P23" s="90">
        <v>769731.36</v>
      </c>
      <c r="Q23" s="90">
        <v>879161.06</v>
      </c>
      <c r="R23" s="90">
        <v>994667.28</v>
      </c>
    </row>
    <row r="24" spans="2:18" outlineLevel="1">
      <c r="B24" s="33" t="s">
        <v>213</v>
      </c>
      <c r="C24" s="14" t="str">
        <f t="shared" si="1"/>
        <v>Hide</v>
      </c>
      <c r="D24" s="89">
        <v>0</v>
      </c>
      <c r="E24" s="95"/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</row>
    <row r="25" spans="2:18" outlineLevel="1">
      <c r="B25" s="33" t="s">
        <v>193</v>
      </c>
      <c r="C25" s="14" t="str">
        <f t="shared" si="1"/>
        <v>Hide</v>
      </c>
      <c r="D25" s="89">
        <v>0</v>
      </c>
      <c r="E25" s="95"/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f>D189+0</f>
        <v>0</v>
      </c>
    </row>
    <row r="26" spans="2:18" outlineLevel="1">
      <c r="B26" s="33" t="s">
        <v>280</v>
      </c>
      <c r="C26" s="14" t="str">
        <f t="shared" si="1"/>
        <v>Show</v>
      </c>
      <c r="D26" s="89">
        <v>676485.46</v>
      </c>
      <c r="E26" s="95"/>
      <c r="F26" s="90">
        <v>0</v>
      </c>
      <c r="G26" s="90">
        <v>-100</v>
      </c>
      <c r="H26" s="90">
        <v>194386.01</v>
      </c>
      <c r="I26" s="90">
        <v>0</v>
      </c>
      <c r="J26" s="90">
        <v>0</v>
      </c>
      <c r="K26" s="90">
        <v>0</v>
      </c>
      <c r="L26" s="90">
        <v>0</v>
      </c>
      <c r="M26" s="90">
        <v>123234.56</v>
      </c>
      <c r="N26" s="90">
        <v>232776.14</v>
      </c>
      <c r="O26" s="90">
        <v>342259.39</v>
      </c>
      <c r="P26" s="90">
        <v>451549.54</v>
      </c>
      <c r="Q26" s="90">
        <v>560979.24</v>
      </c>
      <c r="R26" s="90">
        <v>676485.46</v>
      </c>
    </row>
    <row r="27" spans="2:18" outlineLevel="1">
      <c r="B27" s="33" t="s">
        <v>205</v>
      </c>
      <c r="C27" s="14" t="str">
        <f t="shared" si="1"/>
        <v>Show</v>
      </c>
      <c r="D27" s="89">
        <v>318181.82</v>
      </c>
      <c r="E27" s="95"/>
      <c r="F27" s="90">
        <v>25000</v>
      </c>
      <c r="G27" s="90">
        <v>25000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318181.82</v>
      </c>
      <c r="P27" s="90">
        <v>318181.82</v>
      </c>
      <c r="Q27" s="90">
        <v>318181.82</v>
      </c>
      <c r="R27" s="90">
        <v>318181.82</v>
      </c>
    </row>
    <row r="28" spans="2:18" outlineLevel="1">
      <c r="B28" s="33" t="s">
        <v>259</v>
      </c>
      <c r="C28" s="14" t="str">
        <f t="shared" si="1"/>
        <v>Show</v>
      </c>
      <c r="D28" s="89">
        <v>1.45519152283669E-11</v>
      </c>
      <c r="E28" s="95"/>
      <c r="F28" s="90">
        <v>0</v>
      </c>
      <c r="G28" s="90">
        <v>0</v>
      </c>
      <c r="H28" s="90">
        <v>1.8189894035458601E-12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1.45519152283669E-11</v>
      </c>
    </row>
    <row r="29" spans="2:18" outlineLevel="1">
      <c r="B29" s="33"/>
      <c r="C29" s="33"/>
      <c r="D29" s="89"/>
      <c r="E29" s="95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</row>
    <row r="30" spans="2:18">
      <c r="B30" s="34" t="s">
        <v>272</v>
      </c>
      <c r="C30" s="14" t="str">
        <f t="shared" ref="C30:C32" si="2">IF(SUMSQ(F30:R30)=0,"Hide","Show")</f>
        <v>Hide</v>
      </c>
      <c r="D30" s="89">
        <v>0</v>
      </c>
      <c r="E30" s="94"/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</row>
    <row r="31" spans="2:18" outlineLevel="1">
      <c r="B31" s="33" t="s">
        <v>266</v>
      </c>
      <c r="C31" s="14" t="str">
        <f t="shared" si="2"/>
        <v>Hide</v>
      </c>
      <c r="D31" s="89">
        <v>0</v>
      </c>
      <c r="E31" s="95"/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</row>
    <row r="32" spans="2:18" outlineLevel="1">
      <c r="B32" s="33" t="s">
        <v>228</v>
      </c>
      <c r="C32" s="14" t="str">
        <f t="shared" si="2"/>
        <v>Hide</v>
      </c>
      <c r="D32" s="89">
        <v>0</v>
      </c>
      <c r="E32" s="95"/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</row>
    <row r="33" spans="2:18" outlineLevel="1">
      <c r="B33" s="33"/>
      <c r="C33" s="33"/>
      <c r="D33" s="89"/>
      <c r="E33" s="95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</row>
    <row r="34" spans="2:18">
      <c r="B34" s="34" t="s">
        <v>182</v>
      </c>
      <c r="C34" s="14" t="str">
        <f t="shared" ref="C34:C36" si="3">IF(SUMSQ(F34:R34)=0,"Hide","Show")</f>
        <v>Hide</v>
      </c>
      <c r="D34" s="89">
        <v>0</v>
      </c>
      <c r="E34" s="94"/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</row>
    <row r="35" spans="2:18" outlineLevel="1">
      <c r="B35" s="33" t="s">
        <v>281</v>
      </c>
      <c r="C35" s="14" t="str">
        <f t="shared" si="3"/>
        <v>Hide</v>
      </c>
      <c r="D35" s="89">
        <v>0</v>
      </c>
      <c r="E35" s="95"/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</row>
    <row r="36" spans="2:18" outlineLevel="1">
      <c r="B36" s="33" t="s">
        <v>277</v>
      </c>
      <c r="C36" s="14" t="str">
        <f t="shared" si="3"/>
        <v>Hide</v>
      </c>
      <c r="D36" s="89">
        <v>0</v>
      </c>
      <c r="E36" s="95"/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</row>
    <row r="37" spans="2:18" outlineLevel="1">
      <c r="B37" s="33"/>
      <c r="C37" s="33"/>
      <c r="D37" s="89"/>
      <c r="E37" s="95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</row>
    <row r="38" spans="2:18">
      <c r="B38" s="34" t="s">
        <v>190</v>
      </c>
      <c r="C38" s="14" t="str">
        <f t="shared" ref="C38:C40" si="4">IF(SUMSQ(F38:R38)=0,"Hide","Show")</f>
        <v>Hide</v>
      </c>
      <c r="D38" s="89">
        <v>0</v>
      </c>
      <c r="E38" s="94"/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</row>
    <row r="39" spans="2:18" outlineLevel="1">
      <c r="B39" s="33" t="s">
        <v>192</v>
      </c>
      <c r="C39" s="14" t="str">
        <f t="shared" si="4"/>
        <v>Hide</v>
      </c>
      <c r="D39" s="89">
        <v>0</v>
      </c>
      <c r="E39" s="95"/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</row>
    <row r="40" spans="2:18" outlineLevel="1">
      <c r="B40" s="33" t="s">
        <v>183</v>
      </c>
      <c r="C40" s="14" t="str">
        <f t="shared" si="4"/>
        <v>Hide</v>
      </c>
      <c r="D40" s="89">
        <v>0</v>
      </c>
      <c r="E40" s="95"/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</row>
    <row r="41" spans="2:18" outlineLevel="1">
      <c r="B41" s="33"/>
      <c r="C41" s="33"/>
      <c r="D41" s="89"/>
      <c r="E41" s="95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</row>
    <row r="42" spans="2:18">
      <c r="B42" s="34" t="s">
        <v>201</v>
      </c>
      <c r="C42" s="14" t="str">
        <f>IF(SUMSQ(F42:R42)=0,"Hide","Show")</f>
        <v>Hide</v>
      </c>
      <c r="D42" s="89">
        <v>0</v>
      </c>
      <c r="E42" s="94"/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</row>
    <row r="43" spans="2:18">
      <c r="B43" s="34"/>
      <c r="C43" s="34"/>
      <c r="D43" s="89"/>
      <c r="E43" s="94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</row>
    <row r="44" spans="2:18">
      <c r="B44" s="54" t="s">
        <v>15</v>
      </c>
      <c r="C44" s="14" t="str">
        <f>IF(SUMSQ(F44:R44)=0,"Hide","Show")</f>
        <v>Show</v>
      </c>
      <c r="D44" s="96">
        <v>1013101.85</v>
      </c>
      <c r="E44" s="98"/>
      <c r="F44" s="97">
        <v>243732.27</v>
      </c>
      <c r="G44" s="97">
        <v>198436.75</v>
      </c>
      <c r="H44" s="97">
        <v>223412.36</v>
      </c>
      <c r="I44" s="97">
        <v>34749.939999999799</v>
      </c>
      <c r="J44" s="97">
        <v>68879.929999999804</v>
      </c>
      <c r="K44" s="97">
        <v>177149.63</v>
      </c>
      <c r="L44" s="97">
        <v>117617.71</v>
      </c>
      <c r="M44" s="97">
        <v>140825.78</v>
      </c>
      <c r="N44" s="97">
        <v>253063.64</v>
      </c>
      <c r="O44" s="97">
        <v>739332.22</v>
      </c>
      <c r="P44" s="97">
        <v>796446.76</v>
      </c>
      <c r="Q44" s="97">
        <v>897023.82</v>
      </c>
      <c r="R44" s="97">
        <v>1013101.85</v>
      </c>
    </row>
    <row r="45" spans="2:18">
      <c r="B45" s="34"/>
      <c r="C45" s="34"/>
      <c r="D45" s="89"/>
      <c r="E45" s="94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</row>
    <row r="46" spans="2:18">
      <c r="B46" s="23" t="s">
        <v>16</v>
      </c>
      <c r="C46" s="23"/>
      <c r="D46" s="89"/>
      <c r="E46" s="91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</row>
    <row r="47" spans="2:18">
      <c r="B47" s="34"/>
      <c r="C47" s="34"/>
      <c r="D47" s="89"/>
      <c r="E47" s="94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</row>
    <row r="48" spans="2:18">
      <c r="B48" s="34" t="s">
        <v>256</v>
      </c>
      <c r="C48" s="14" t="str">
        <f t="shared" ref="C48:C49" si="5">IF(SUMSQ(F48:R48)=0,"Hide","Show")</f>
        <v>Show</v>
      </c>
      <c r="D48" s="89">
        <v>20514.57</v>
      </c>
      <c r="E48" s="94"/>
      <c r="F48" s="90">
        <v>20514.57</v>
      </c>
      <c r="G48" s="90">
        <v>20514.57</v>
      </c>
      <c r="H48" s="90">
        <v>20514.57</v>
      </c>
      <c r="I48" s="90">
        <v>20514.57</v>
      </c>
      <c r="J48" s="90">
        <v>20514.57</v>
      </c>
      <c r="K48" s="90">
        <v>20514.57</v>
      </c>
      <c r="L48" s="90">
        <v>20514.57</v>
      </c>
      <c r="M48" s="90">
        <v>20514.57</v>
      </c>
      <c r="N48" s="90">
        <v>20514.57</v>
      </c>
      <c r="O48" s="90">
        <v>20514.57</v>
      </c>
      <c r="P48" s="90">
        <v>20514.57</v>
      </c>
      <c r="Q48" s="90">
        <v>20514.57</v>
      </c>
      <c r="R48" s="90">
        <v>20514.57</v>
      </c>
    </row>
    <row r="49" spans="2:18" outlineLevel="1">
      <c r="B49" s="33" t="s">
        <v>252</v>
      </c>
      <c r="C49" s="14" t="str">
        <f t="shared" si="5"/>
        <v>Show</v>
      </c>
      <c r="D49" s="89">
        <v>20514.57</v>
      </c>
      <c r="E49" s="95"/>
      <c r="F49" s="90">
        <v>20514.57</v>
      </c>
      <c r="G49" s="90">
        <v>20514.57</v>
      </c>
      <c r="H49" s="90">
        <v>20514.57</v>
      </c>
      <c r="I49" s="90">
        <v>20514.57</v>
      </c>
      <c r="J49" s="90">
        <v>20514.57</v>
      </c>
      <c r="K49" s="90">
        <v>20514.57</v>
      </c>
      <c r="L49" s="90">
        <v>20514.57</v>
      </c>
      <c r="M49" s="90">
        <v>20514.57</v>
      </c>
      <c r="N49" s="90">
        <v>20514.57</v>
      </c>
      <c r="O49" s="90">
        <v>20514.57</v>
      </c>
      <c r="P49" s="90">
        <v>20514.57</v>
      </c>
      <c r="Q49" s="90">
        <v>20514.57</v>
      </c>
      <c r="R49" s="90">
        <v>20514.57</v>
      </c>
    </row>
    <row r="50" spans="2:18" outlineLevel="1">
      <c r="B50" s="33"/>
      <c r="C50" s="33"/>
      <c r="D50" s="89"/>
      <c r="E50" s="95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</row>
    <row r="51" spans="2:18">
      <c r="B51" s="34" t="s">
        <v>253</v>
      </c>
      <c r="C51" s="14" t="str">
        <f t="shared" ref="C51:C52" si="6">IF(SUMSQ(F51:R51)=0,"Hide","Show")</f>
        <v>Hide</v>
      </c>
      <c r="D51" s="89">
        <v>0</v>
      </c>
      <c r="E51" s="94"/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</row>
    <row r="52" spans="2:18" outlineLevel="1">
      <c r="B52" s="33" t="s">
        <v>257</v>
      </c>
      <c r="C52" s="14" t="str">
        <f t="shared" si="6"/>
        <v>Hide</v>
      </c>
      <c r="D52" s="89">
        <v>0</v>
      </c>
      <c r="E52" s="95"/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</row>
    <row r="53" spans="2:18" outlineLevel="1">
      <c r="B53" s="33"/>
      <c r="C53" s="33"/>
      <c r="D53" s="89"/>
      <c r="E53" s="95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</row>
    <row r="54" spans="2:18">
      <c r="B54" s="34" t="s">
        <v>255</v>
      </c>
      <c r="C54" s="14" t="str">
        <f t="shared" ref="C54:C66" si="7">IF(SUMSQ(F54:R54)=0,"Hide","Show")</f>
        <v>Show</v>
      </c>
      <c r="D54" s="89">
        <v>35186.800000000003</v>
      </c>
      <c r="E54" s="94"/>
      <c r="F54" s="90">
        <v>41213.480000000003</v>
      </c>
      <c r="G54" s="90">
        <v>40648.97</v>
      </c>
      <c r="H54" s="90">
        <v>40084.44</v>
      </c>
      <c r="I54" s="90">
        <v>39538.14</v>
      </c>
      <c r="J54" s="90">
        <v>38973.629999999997</v>
      </c>
      <c r="K54" s="90">
        <v>39301.61</v>
      </c>
      <c r="L54" s="90">
        <v>38699.910000000003</v>
      </c>
      <c r="M54" s="90">
        <v>38098.230000000003</v>
      </c>
      <c r="N54" s="90">
        <v>37554.76</v>
      </c>
      <c r="O54" s="90">
        <v>36953.07</v>
      </c>
      <c r="P54" s="90">
        <v>36370.78</v>
      </c>
      <c r="Q54" s="90">
        <v>35769.08</v>
      </c>
      <c r="R54" s="90">
        <v>35186.800000000003</v>
      </c>
    </row>
    <row r="55" spans="2:18" outlineLevel="1">
      <c r="B55" s="33" t="s">
        <v>264</v>
      </c>
      <c r="C55" s="14" t="str">
        <f t="shared" si="7"/>
        <v>Hide</v>
      </c>
      <c r="D55" s="89">
        <v>0</v>
      </c>
      <c r="E55" s="95"/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</row>
    <row r="56" spans="2:18" outlineLevel="1">
      <c r="B56" s="33" t="s">
        <v>262</v>
      </c>
      <c r="C56" s="14" t="str">
        <f t="shared" si="7"/>
        <v>Hide</v>
      </c>
      <c r="D56" s="89">
        <v>0</v>
      </c>
      <c r="E56" s="95"/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</row>
    <row r="57" spans="2:18" outlineLevel="1">
      <c r="B57" s="33" t="s">
        <v>181</v>
      </c>
      <c r="C57" s="14" t="str">
        <f t="shared" si="7"/>
        <v>Show</v>
      </c>
      <c r="D57" s="89">
        <v>50902.15</v>
      </c>
      <c r="E57" s="95"/>
      <c r="F57" s="90">
        <v>50902.15</v>
      </c>
      <c r="G57" s="90">
        <v>50902.15</v>
      </c>
      <c r="H57" s="90">
        <v>50902.15</v>
      </c>
      <c r="I57" s="90">
        <v>50902.15</v>
      </c>
      <c r="J57" s="90">
        <v>50902.15</v>
      </c>
      <c r="K57" s="90">
        <v>50902.15</v>
      </c>
      <c r="L57" s="90">
        <v>50902.15</v>
      </c>
      <c r="M57" s="90">
        <v>50902.15</v>
      </c>
      <c r="N57" s="90">
        <v>50902.15</v>
      </c>
      <c r="O57" s="90">
        <v>50902.15</v>
      </c>
      <c r="P57" s="90">
        <v>50902.15</v>
      </c>
      <c r="Q57" s="90">
        <v>50902.15</v>
      </c>
      <c r="R57" s="90">
        <v>50902.15</v>
      </c>
    </row>
    <row r="58" spans="2:18" outlineLevel="1">
      <c r="B58" s="33" t="s">
        <v>279</v>
      </c>
      <c r="C58" s="14" t="str">
        <f t="shared" si="7"/>
        <v>Show</v>
      </c>
      <c r="D58" s="89">
        <v>-16335.39</v>
      </c>
      <c r="E58" s="95"/>
      <c r="F58" s="90">
        <v>-9688.67</v>
      </c>
      <c r="G58" s="90">
        <v>-10253.18</v>
      </c>
      <c r="H58" s="90">
        <v>-10817.71</v>
      </c>
      <c r="I58" s="90">
        <v>-11364.01</v>
      </c>
      <c r="J58" s="90">
        <v>-11928.52</v>
      </c>
      <c r="K58" s="90">
        <v>-12474.83</v>
      </c>
      <c r="L58" s="90">
        <v>-13039.35</v>
      </c>
      <c r="M58" s="90">
        <v>-13603.86</v>
      </c>
      <c r="N58" s="90">
        <v>-14113.75</v>
      </c>
      <c r="O58" s="90">
        <v>-14678.26</v>
      </c>
      <c r="P58" s="90">
        <v>-15224.57</v>
      </c>
      <c r="Q58" s="90">
        <v>-15789.09</v>
      </c>
      <c r="R58" s="90">
        <v>-16335.39</v>
      </c>
    </row>
    <row r="59" spans="2:18" outlineLevel="1">
      <c r="B59" s="33" t="s">
        <v>236</v>
      </c>
      <c r="C59" s="14" t="str">
        <f t="shared" si="7"/>
        <v>Hide</v>
      </c>
      <c r="D59" s="89">
        <v>0</v>
      </c>
      <c r="E59" s="95"/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</row>
    <row r="60" spans="2:18" outlineLevel="1">
      <c r="B60" s="33" t="s">
        <v>243</v>
      </c>
      <c r="C60" s="14" t="str">
        <f t="shared" si="7"/>
        <v>Hide</v>
      </c>
      <c r="D60" s="89">
        <v>0</v>
      </c>
      <c r="E60" s="95"/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</row>
    <row r="61" spans="2:18" outlineLevel="1">
      <c r="B61" s="33" t="s">
        <v>282</v>
      </c>
      <c r="C61" s="14" t="str">
        <f t="shared" si="7"/>
        <v>Hide</v>
      </c>
      <c r="D61" s="89">
        <v>0</v>
      </c>
      <c r="E61" s="95"/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</row>
    <row r="62" spans="2:18" outlineLevel="1">
      <c r="B62" s="33" t="s">
        <v>200</v>
      </c>
      <c r="C62" s="14" t="str">
        <f t="shared" si="7"/>
        <v>Show</v>
      </c>
      <c r="D62" s="89">
        <v>875.49</v>
      </c>
      <c r="E62" s="95"/>
      <c r="F62" s="90">
        <v>0</v>
      </c>
      <c r="G62" s="90">
        <v>0</v>
      </c>
      <c r="H62" s="90">
        <v>0</v>
      </c>
      <c r="I62" s="90">
        <v>0</v>
      </c>
      <c r="J62" s="90">
        <v>0</v>
      </c>
      <c r="K62" s="90">
        <v>875.49</v>
      </c>
      <c r="L62" s="90">
        <v>875.49</v>
      </c>
      <c r="M62" s="90">
        <v>875.49</v>
      </c>
      <c r="N62" s="90">
        <v>875.49</v>
      </c>
      <c r="O62" s="90">
        <v>875.49</v>
      </c>
      <c r="P62" s="90">
        <v>875.49</v>
      </c>
      <c r="Q62" s="90">
        <v>875.49</v>
      </c>
      <c r="R62" s="90">
        <v>875.49</v>
      </c>
    </row>
    <row r="63" spans="2:18" outlineLevel="1">
      <c r="B63" s="33" t="s">
        <v>214</v>
      </c>
      <c r="C63" s="14" t="str">
        <f t="shared" si="7"/>
        <v>Show</v>
      </c>
      <c r="D63" s="89">
        <v>-255.45</v>
      </c>
      <c r="E63" s="95"/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-1.2</v>
      </c>
      <c r="L63" s="90">
        <v>-38.380000000000003</v>
      </c>
      <c r="M63" s="90">
        <v>-75.55</v>
      </c>
      <c r="N63" s="90">
        <v>-109.13</v>
      </c>
      <c r="O63" s="90">
        <v>-146.31</v>
      </c>
      <c r="P63" s="90">
        <v>-182.29</v>
      </c>
      <c r="Q63" s="90">
        <v>-219.47</v>
      </c>
      <c r="R63" s="90">
        <v>-255.45</v>
      </c>
    </row>
    <row r="64" spans="2:18" outlineLevel="1">
      <c r="B64" s="33" t="s">
        <v>270</v>
      </c>
      <c r="C64" s="14" t="str">
        <f t="shared" si="7"/>
        <v>Hide</v>
      </c>
      <c r="D64" s="89">
        <v>0</v>
      </c>
      <c r="E64" s="95"/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</row>
    <row r="65" spans="2:18" outlineLevel="1">
      <c r="B65" s="33" t="s">
        <v>221</v>
      </c>
      <c r="C65" s="14" t="str">
        <f t="shared" si="7"/>
        <v>Hide</v>
      </c>
      <c r="D65" s="89">
        <v>0</v>
      </c>
      <c r="E65" s="95"/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</row>
    <row r="66" spans="2:18" outlineLevel="1">
      <c r="B66" s="33" t="s">
        <v>247</v>
      </c>
      <c r="C66" s="14" t="str">
        <f t="shared" si="7"/>
        <v>Hide</v>
      </c>
      <c r="D66" s="89">
        <v>0</v>
      </c>
      <c r="E66" s="95"/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</row>
    <row r="67" spans="2:18" outlineLevel="1">
      <c r="B67" s="33"/>
      <c r="C67" s="33"/>
      <c r="D67" s="89"/>
      <c r="E67" s="95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2:18">
      <c r="B68" s="34" t="s">
        <v>261</v>
      </c>
      <c r="C68" s="14" t="str">
        <f t="shared" ref="C68:C70" si="8">IF(SUMSQ(F68:R68)=0,"Hide","Show")</f>
        <v>Hide</v>
      </c>
      <c r="D68" s="89">
        <v>0</v>
      </c>
      <c r="E68" s="94"/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</row>
    <row r="69" spans="2:18" outlineLevel="1">
      <c r="B69" s="33" t="s">
        <v>250</v>
      </c>
      <c r="C69" s="14" t="str">
        <f t="shared" si="8"/>
        <v>Hide</v>
      </c>
      <c r="D69" s="89">
        <v>0</v>
      </c>
      <c r="E69" s="95"/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</row>
    <row r="70" spans="2:18" outlineLevel="1">
      <c r="B70" s="33" t="s">
        <v>276</v>
      </c>
      <c r="C70" s="14" t="str">
        <f t="shared" si="8"/>
        <v>Hide</v>
      </c>
      <c r="D70" s="89">
        <v>0</v>
      </c>
      <c r="E70" s="95"/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</row>
    <row r="71" spans="2:18" outlineLevel="1">
      <c r="B71" s="33"/>
      <c r="C71" s="33"/>
      <c r="D71" s="89"/>
      <c r="E71" s="95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</row>
    <row r="72" spans="2:18">
      <c r="B72" s="34" t="s">
        <v>249</v>
      </c>
      <c r="C72" s="14" t="str">
        <f t="shared" ref="C72:C75" si="9">IF(SUMSQ(F72:R72)=0,"Hide","Show")</f>
        <v>Show</v>
      </c>
      <c r="D72" s="89">
        <v>239276.97</v>
      </c>
      <c r="E72" s="94"/>
      <c r="F72" s="90">
        <v>141824.82</v>
      </c>
      <c r="G72" s="90">
        <v>141824.82</v>
      </c>
      <c r="H72" s="90">
        <v>239276.97</v>
      </c>
      <c r="I72" s="90">
        <v>239276.97</v>
      </c>
      <c r="J72" s="90">
        <v>239276.97</v>
      </c>
      <c r="K72" s="90">
        <v>239276.97</v>
      </c>
      <c r="L72" s="90">
        <v>239276.97</v>
      </c>
      <c r="M72" s="90">
        <v>239276.97</v>
      </c>
      <c r="N72" s="90">
        <v>239276.97</v>
      </c>
      <c r="O72" s="90">
        <v>239276.97</v>
      </c>
      <c r="P72" s="90">
        <v>239276.97</v>
      </c>
      <c r="Q72" s="90">
        <v>239276.97</v>
      </c>
      <c r="R72" s="90">
        <v>239276.97</v>
      </c>
    </row>
    <row r="73" spans="2:18" outlineLevel="1">
      <c r="B73" s="33" t="s">
        <v>274</v>
      </c>
      <c r="C73" s="14" t="str">
        <f t="shared" si="9"/>
        <v>Show</v>
      </c>
      <c r="D73" s="89">
        <v>239276.97</v>
      </c>
      <c r="E73" s="95"/>
      <c r="F73" s="90">
        <v>141824.82</v>
      </c>
      <c r="G73" s="90">
        <v>141824.82</v>
      </c>
      <c r="H73" s="90">
        <v>239276.97</v>
      </c>
      <c r="I73" s="90">
        <v>239276.97</v>
      </c>
      <c r="J73" s="90">
        <v>239276.97</v>
      </c>
      <c r="K73" s="90">
        <v>239276.97</v>
      </c>
      <c r="L73" s="90">
        <v>239276.97</v>
      </c>
      <c r="M73" s="90">
        <v>239276.97</v>
      </c>
      <c r="N73" s="90">
        <v>239276.97</v>
      </c>
      <c r="O73" s="90">
        <v>239276.97</v>
      </c>
      <c r="P73" s="90">
        <v>239276.97</v>
      </c>
      <c r="Q73" s="90">
        <v>239276.97</v>
      </c>
      <c r="R73" s="90">
        <v>239276.97</v>
      </c>
    </row>
    <row r="74" spans="2:18" outlineLevel="1">
      <c r="B74" s="33" t="s">
        <v>241</v>
      </c>
      <c r="C74" s="14" t="str">
        <f t="shared" si="9"/>
        <v>Hide</v>
      </c>
      <c r="D74" s="89">
        <v>0</v>
      </c>
      <c r="E74" s="95"/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</row>
    <row r="75" spans="2:18" outlineLevel="1">
      <c r="B75" s="33" t="s">
        <v>188</v>
      </c>
      <c r="C75" s="14" t="str">
        <f t="shared" si="9"/>
        <v>Hide</v>
      </c>
      <c r="D75" s="89">
        <v>0</v>
      </c>
      <c r="E75" s="95"/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</row>
    <row r="76" spans="2:18" outlineLevel="1">
      <c r="B76" s="33"/>
      <c r="C76" s="33"/>
      <c r="D76" s="89"/>
      <c r="E76" s="95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</row>
    <row r="77" spans="2:18">
      <c r="B77" s="34" t="s">
        <v>195</v>
      </c>
      <c r="C77" s="14" t="str">
        <f t="shared" ref="C77:C80" si="10">IF(SUMSQ(F77:R77)=0,"Hide","Show")</f>
        <v>Hide</v>
      </c>
      <c r="D77" s="89">
        <v>0</v>
      </c>
      <c r="E77" s="94"/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</row>
    <row r="78" spans="2:18" outlineLevel="1">
      <c r="B78" s="33" t="s">
        <v>234</v>
      </c>
      <c r="C78" s="14" t="str">
        <f t="shared" si="10"/>
        <v>Hide</v>
      </c>
      <c r="D78" s="89">
        <v>0</v>
      </c>
      <c r="E78" s="95"/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</row>
    <row r="79" spans="2:18" outlineLevel="1">
      <c r="B79" s="33" t="s">
        <v>232</v>
      </c>
      <c r="C79" s="14" t="str">
        <f t="shared" si="10"/>
        <v>Hide</v>
      </c>
      <c r="D79" s="89">
        <v>0</v>
      </c>
      <c r="E79" s="95"/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</row>
    <row r="80" spans="2:18" outlineLevel="1">
      <c r="B80" s="33" t="s">
        <v>219</v>
      </c>
      <c r="C80" s="14" t="str">
        <f t="shared" si="10"/>
        <v>Hide</v>
      </c>
      <c r="D80" s="89">
        <v>0</v>
      </c>
      <c r="E80" s="95"/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</row>
    <row r="81" spans="2:18" outlineLevel="1">
      <c r="B81" s="33"/>
      <c r="C81" s="33"/>
      <c r="D81" s="89"/>
      <c r="E81" s="95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</row>
    <row r="82" spans="2:18">
      <c r="B82" s="34" t="s">
        <v>268</v>
      </c>
      <c r="C82" s="14" t="str">
        <f t="shared" ref="C82:C83" si="11">IF(SUMSQ(F82:R82)=0,"Hide","Show")</f>
        <v>Hide</v>
      </c>
      <c r="D82" s="89">
        <v>0</v>
      </c>
      <c r="E82" s="94"/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</row>
    <row r="83" spans="2:18" outlineLevel="1">
      <c r="B83" s="33" t="s">
        <v>220</v>
      </c>
      <c r="C83" s="14" t="str">
        <f t="shared" si="11"/>
        <v>Hide</v>
      </c>
      <c r="D83" s="89">
        <v>0</v>
      </c>
      <c r="E83" s="95"/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0">
        <v>0</v>
      </c>
    </row>
    <row r="84" spans="2:18" outlineLevel="1">
      <c r="B84" s="33"/>
      <c r="C84" s="33"/>
      <c r="D84" s="89"/>
      <c r="E84" s="95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</row>
    <row r="85" spans="2:18">
      <c r="B85" s="33"/>
      <c r="C85" s="33"/>
      <c r="D85" s="89"/>
      <c r="E85" s="95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</row>
    <row r="86" spans="2:18">
      <c r="B86" s="54" t="s">
        <v>16</v>
      </c>
      <c r="C86" s="14" t="str">
        <f>IF(SUMSQ(F86:R86)=0,"Hide","Show")</f>
        <v>Show</v>
      </c>
      <c r="D86" s="96">
        <v>294978.34000000003</v>
      </c>
      <c r="E86" s="98"/>
      <c r="F86" s="97">
        <v>203552.87</v>
      </c>
      <c r="G86" s="97">
        <v>202988.36</v>
      </c>
      <c r="H86" s="97">
        <v>299875.98</v>
      </c>
      <c r="I86" s="97">
        <v>299329.68</v>
      </c>
      <c r="J86" s="97">
        <v>298765.17</v>
      </c>
      <c r="K86" s="97">
        <v>299093.15000000002</v>
      </c>
      <c r="L86" s="97">
        <v>298491.45</v>
      </c>
      <c r="M86" s="97">
        <v>297889.77</v>
      </c>
      <c r="N86" s="97">
        <v>297346.3</v>
      </c>
      <c r="O86" s="97">
        <v>296744.61</v>
      </c>
      <c r="P86" s="97">
        <v>296162.32</v>
      </c>
      <c r="Q86" s="97">
        <v>295560.62</v>
      </c>
      <c r="R86" s="97">
        <v>294978.34000000003</v>
      </c>
    </row>
    <row r="87" spans="2:18">
      <c r="B87" s="33"/>
      <c r="C87" s="33"/>
      <c r="D87" s="89"/>
      <c r="E87" s="95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</row>
    <row r="88" spans="2:18">
      <c r="B88" s="55" t="s">
        <v>202</v>
      </c>
      <c r="C88" s="14" t="str">
        <f>IF(SUMSQ(F88:R88)=0,"Hide","Show")</f>
        <v>Show</v>
      </c>
      <c r="D88" s="99">
        <v>1308080.19</v>
      </c>
      <c r="E88" s="91"/>
      <c r="F88" s="99">
        <v>447285.14</v>
      </c>
      <c r="G88" s="99">
        <v>401425.11</v>
      </c>
      <c r="H88" s="99">
        <v>523288.34</v>
      </c>
      <c r="I88" s="99">
        <v>334079.62</v>
      </c>
      <c r="J88" s="99">
        <v>367645.1</v>
      </c>
      <c r="K88" s="99">
        <v>476242.78</v>
      </c>
      <c r="L88" s="99">
        <v>416109.16</v>
      </c>
      <c r="M88" s="99">
        <v>438715.55</v>
      </c>
      <c r="N88" s="99">
        <v>550409.93999999994</v>
      </c>
      <c r="O88" s="99">
        <v>1036076.83</v>
      </c>
      <c r="P88" s="99">
        <v>1092609.08</v>
      </c>
      <c r="Q88" s="99">
        <v>1192584.44</v>
      </c>
      <c r="R88" s="99">
        <v>1308080.19</v>
      </c>
    </row>
    <row r="89" spans="2:18">
      <c r="B89" s="33"/>
      <c r="C89" s="33"/>
      <c r="D89" s="89"/>
      <c r="E89" s="95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</row>
    <row r="90" spans="2:18">
      <c r="B90" s="23" t="s">
        <v>17</v>
      </c>
      <c r="C90" s="23"/>
      <c r="D90" s="89"/>
      <c r="E90" s="91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</row>
    <row r="91" spans="2:18">
      <c r="B91" s="50"/>
      <c r="C91" s="50"/>
      <c r="D91" s="89"/>
      <c r="E91" s="91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</row>
    <row r="92" spans="2:18">
      <c r="B92" s="34" t="s">
        <v>224</v>
      </c>
      <c r="C92" s="14" t="str">
        <f t="shared" ref="C92:C98" si="12">IF(SUMSQ(F92:R92)=0,"Hide","Show")</f>
        <v>Hide</v>
      </c>
      <c r="D92" s="89">
        <v>0</v>
      </c>
      <c r="E92" s="94"/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 s="90">
        <v>0</v>
      </c>
    </row>
    <row r="93" spans="2:18" outlineLevel="1">
      <c r="B93" s="33" t="s">
        <v>212</v>
      </c>
      <c r="C93" s="14" t="str">
        <f t="shared" si="12"/>
        <v>Hide</v>
      </c>
      <c r="D93" s="89">
        <v>0</v>
      </c>
      <c r="E93" s="95"/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 s="90">
        <v>0</v>
      </c>
    </row>
    <row r="94" spans="2:18" outlineLevel="1">
      <c r="B94" s="33" t="s">
        <v>191</v>
      </c>
      <c r="C94" s="14" t="str">
        <f t="shared" si="12"/>
        <v>Hide</v>
      </c>
      <c r="D94" s="89">
        <v>0</v>
      </c>
      <c r="E94" s="95"/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</row>
    <row r="95" spans="2:18" outlineLevel="1">
      <c r="B95" s="33" t="s">
        <v>267</v>
      </c>
      <c r="C95" s="14" t="str">
        <f t="shared" si="12"/>
        <v>Hide</v>
      </c>
      <c r="D95" s="89">
        <v>0</v>
      </c>
      <c r="E95" s="95"/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 s="90">
        <v>0</v>
      </c>
    </row>
    <row r="96" spans="2:18" outlineLevel="1">
      <c r="B96" s="33" t="s">
        <v>206</v>
      </c>
      <c r="C96" s="14" t="str">
        <f t="shared" si="12"/>
        <v>Hide</v>
      </c>
      <c r="D96" s="89">
        <v>0</v>
      </c>
      <c r="E96" s="95"/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</row>
    <row r="97" spans="2:18" outlineLevel="1">
      <c r="B97" s="33" t="s">
        <v>211</v>
      </c>
      <c r="C97" s="14" t="str">
        <f t="shared" si="12"/>
        <v>Hide</v>
      </c>
      <c r="D97" s="89">
        <v>0</v>
      </c>
      <c r="E97" s="95"/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</row>
    <row r="98" spans="2:18" outlineLevel="1">
      <c r="B98" s="33" t="s">
        <v>271</v>
      </c>
      <c r="C98" s="14" t="str">
        <f t="shared" si="12"/>
        <v>Hide</v>
      </c>
      <c r="D98" s="89">
        <v>0</v>
      </c>
      <c r="E98" s="95"/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</row>
    <row r="99" spans="2:18" outlineLevel="1">
      <c r="B99" s="33"/>
      <c r="C99" s="33"/>
      <c r="D99" s="89"/>
      <c r="E99" s="95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</row>
    <row r="100" spans="2:18">
      <c r="B100" s="34" t="s">
        <v>263</v>
      </c>
      <c r="C100" s="14" t="str">
        <f t="shared" ref="C100:C101" si="13">IF(SUMSQ(F100:R100)=0,"Hide","Show")</f>
        <v>Hide</v>
      </c>
      <c r="D100" s="89">
        <v>0</v>
      </c>
      <c r="E100" s="94"/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</row>
    <row r="101" spans="2:18" outlineLevel="1">
      <c r="B101" s="33" t="s">
        <v>242</v>
      </c>
      <c r="C101" s="14" t="str">
        <f t="shared" si="13"/>
        <v>Hide</v>
      </c>
      <c r="D101" s="89">
        <v>0</v>
      </c>
      <c r="E101" s="95"/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 s="90">
        <v>0</v>
      </c>
    </row>
    <row r="102" spans="2:18" outlineLevel="1">
      <c r="B102" s="33"/>
      <c r="C102" s="33"/>
      <c r="D102" s="89"/>
      <c r="E102" s="95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2:18">
      <c r="B103" s="34" t="s">
        <v>260</v>
      </c>
      <c r="C103" s="14" t="str">
        <f t="shared" ref="C103:C109" si="14">IF(SUMSQ(F103:R103)=0,"Hide","Show")</f>
        <v>Show</v>
      </c>
      <c r="D103" s="89">
        <v>103151.22</v>
      </c>
      <c r="E103" s="94"/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17191.87</v>
      </c>
      <c r="N103" s="90">
        <v>34383.74</v>
      </c>
      <c r="O103" s="90">
        <v>51575.61</v>
      </c>
      <c r="P103" s="90">
        <v>68767.48</v>
      </c>
      <c r="Q103" s="90">
        <v>85959.35</v>
      </c>
      <c r="R103" s="90">
        <v>103151.22</v>
      </c>
    </row>
    <row r="104" spans="2:18" outlineLevel="1">
      <c r="B104" s="33" t="s">
        <v>246</v>
      </c>
      <c r="C104" s="14" t="str">
        <f t="shared" si="14"/>
        <v>Hide</v>
      </c>
      <c r="D104" s="89">
        <v>0</v>
      </c>
      <c r="E104" s="95"/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 s="90">
        <v>0</v>
      </c>
    </row>
    <row r="105" spans="2:18" outlineLevel="1">
      <c r="B105" s="33" t="s">
        <v>248</v>
      </c>
      <c r="C105" s="14" t="str">
        <f t="shared" si="14"/>
        <v>Show</v>
      </c>
      <c r="D105" s="89">
        <v>113576.1</v>
      </c>
      <c r="E105" s="95"/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18929.349999999999</v>
      </c>
      <c r="N105" s="90">
        <v>37858.699999999997</v>
      </c>
      <c r="O105" s="90">
        <v>56788.05</v>
      </c>
      <c r="P105" s="90">
        <v>75717.399999999994</v>
      </c>
      <c r="Q105" s="90">
        <v>94646.75</v>
      </c>
      <c r="R105" s="90">
        <v>113576.1</v>
      </c>
    </row>
    <row r="106" spans="2:18" outlineLevel="1">
      <c r="B106" s="33" t="s">
        <v>218</v>
      </c>
      <c r="C106" s="14" t="str">
        <f t="shared" si="14"/>
        <v>Hide</v>
      </c>
      <c r="D106" s="89">
        <v>0</v>
      </c>
      <c r="E106" s="95"/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 s="90">
        <v>0</v>
      </c>
    </row>
    <row r="107" spans="2:18" outlineLevel="1">
      <c r="B107" s="33" t="s">
        <v>223</v>
      </c>
      <c r="C107" s="14" t="str">
        <f t="shared" si="14"/>
        <v>Hide</v>
      </c>
      <c r="D107" s="89">
        <v>0</v>
      </c>
      <c r="E107" s="95"/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 s="90">
        <v>0</v>
      </c>
    </row>
    <row r="108" spans="2:18" outlineLevel="1">
      <c r="B108" s="33" t="s">
        <v>203</v>
      </c>
      <c r="C108" s="14" t="str">
        <f t="shared" si="14"/>
        <v>Show</v>
      </c>
      <c r="D108" s="89">
        <v>-10424.879999999999</v>
      </c>
      <c r="E108" s="95"/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-1737.48</v>
      </c>
      <c r="N108" s="90">
        <v>-3474.96</v>
      </c>
      <c r="O108" s="90">
        <v>-5212.4399999999996</v>
      </c>
      <c r="P108" s="90">
        <v>-6949.92</v>
      </c>
      <c r="Q108" s="90">
        <v>-8687.4</v>
      </c>
      <c r="R108" s="90">
        <v>-10424.879999999999</v>
      </c>
    </row>
    <row r="109" spans="2:18" outlineLevel="1">
      <c r="B109" s="33" t="s">
        <v>239</v>
      </c>
      <c r="C109" s="14" t="str">
        <f t="shared" si="14"/>
        <v>Hide</v>
      </c>
      <c r="D109" s="89">
        <v>0</v>
      </c>
      <c r="E109" s="95"/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 s="90">
        <v>0</v>
      </c>
    </row>
    <row r="110" spans="2:18" outlineLevel="1">
      <c r="B110" s="33"/>
      <c r="C110" s="33"/>
      <c r="D110" s="89"/>
      <c r="E110" s="95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</row>
    <row r="111" spans="2:18">
      <c r="B111" s="34" t="s">
        <v>225</v>
      </c>
      <c r="C111" s="14" t="str">
        <f t="shared" ref="C111:C117" si="15">IF(SUMSQ(F111:R111)=0,"Hide","Show")</f>
        <v>Show</v>
      </c>
      <c r="D111" s="89">
        <v>241747.86</v>
      </c>
      <c r="E111" s="94"/>
      <c r="F111" s="90">
        <v>306878.21000000002</v>
      </c>
      <c r="G111" s="90">
        <v>316422.73</v>
      </c>
      <c r="H111" s="90">
        <v>189033.13</v>
      </c>
      <c r="I111" s="90">
        <v>48989.85</v>
      </c>
      <c r="J111" s="90">
        <v>-1.45519152283669E-11</v>
      </c>
      <c r="K111" s="90">
        <v>26683.05</v>
      </c>
      <c r="L111" s="90">
        <v>80386.86</v>
      </c>
      <c r="M111" s="90">
        <v>804.789999999987</v>
      </c>
      <c r="N111" s="90">
        <v>25989.46</v>
      </c>
      <c r="O111" s="90">
        <v>101040</v>
      </c>
      <c r="P111" s="90">
        <v>322681.59000000003</v>
      </c>
      <c r="Q111" s="90">
        <v>339225.35</v>
      </c>
      <c r="R111" s="90">
        <v>241747.86</v>
      </c>
    </row>
    <row r="112" spans="2:18" outlineLevel="1">
      <c r="B112" s="33" t="s">
        <v>235</v>
      </c>
      <c r="C112" s="14" t="str">
        <f t="shared" si="15"/>
        <v>Hide</v>
      </c>
      <c r="D112" s="89">
        <v>0</v>
      </c>
      <c r="E112" s="95"/>
      <c r="F112" s="90">
        <v>0</v>
      </c>
      <c r="G112" s="90">
        <v>0</v>
      </c>
      <c r="H112" s="90">
        <v>0</v>
      </c>
      <c r="I112" s="90">
        <v>0</v>
      </c>
      <c r="J112" s="90">
        <v>0</v>
      </c>
      <c r="K112" s="90">
        <v>0</v>
      </c>
      <c r="L112" s="90">
        <v>0</v>
      </c>
      <c r="M112" s="90">
        <v>0</v>
      </c>
      <c r="N112" s="90">
        <v>0</v>
      </c>
      <c r="O112" s="90">
        <v>0</v>
      </c>
      <c r="P112" s="90">
        <v>0</v>
      </c>
      <c r="Q112" s="90">
        <v>0</v>
      </c>
      <c r="R112" s="90">
        <v>0</v>
      </c>
    </row>
    <row r="113" spans="2:18" outlineLevel="1">
      <c r="B113" s="33" t="s">
        <v>238</v>
      </c>
      <c r="C113" s="14" t="str">
        <f t="shared" si="15"/>
        <v>Hide</v>
      </c>
      <c r="D113" s="89">
        <v>0</v>
      </c>
      <c r="E113" s="95"/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</row>
    <row r="114" spans="2:18" outlineLevel="1">
      <c r="B114" s="33" t="s">
        <v>231</v>
      </c>
      <c r="C114" s="14" t="str">
        <f t="shared" si="15"/>
        <v>Show</v>
      </c>
      <c r="D114" s="89">
        <v>0</v>
      </c>
      <c r="E114" s="95"/>
      <c r="F114" s="90">
        <v>1.45519152283669E-11</v>
      </c>
      <c r="G114" s="90">
        <v>-2.7284841053187799E-12</v>
      </c>
      <c r="H114" s="90">
        <v>1.50066625792533E-11</v>
      </c>
      <c r="I114" s="90">
        <v>1.50066625792533E-11</v>
      </c>
      <c r="J114" s="90">
        <v>0</v>
      </c>
      <c r="K114" s="90">
        <v>3.6379788070917101E-12</v>
      </c>
      <c r="L114" s="90">
        <v>1.45519152283669E-11</v>
      </c>
      <c r="M114" s="90">
        <v>1.8189894035458601E-12</v>
      </c>
      <c r="N114" s="90">
        <v>5.4569682106375702E-12</v>
      </c>
      <c r="O114" s="90">
        <v>1.16415321826935E-10</v>
      </c>
      <c r="P114" s="90">
        <v>0</v>
      </c>
      <c r="Q114" s="90">
        <v>-1.16415321826935E-10</v>
      </c>
      <c r="R114" s="90">
        <v>0</v>
      </c>
    </row>
    <row r="115" spans="2:18" outlineLevel="1">
      <c r="B115" s="33" t="s">
        <v>207</v>
      </c>
      <c r="C115" s="14" t="str">
        <f t="shared" si="15"/>
        <v>Hide</v>
      </c>
      <c r="D115" s="89">
        <v>0</v>
      </c>
      <c r="E115" s="95"/>
      <c r="F115" s="90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</row>
    <row r="116" spans="2:18" outlineLevel="1">
      <c r="B116" s="33" t="s">
        <v>208</v>
      </c>
      <c r="C116" s="14" t="str">
        <f t="shared" si="15"/>
        <v>Show</v>
      </c>
      <c r="D116" s="89">
        <v>8241.7599999999893</v>
      </c>
      <c r="E116" s="95"/>
      <c r="F116" s="90">
        <v>217407.73</v>
      </c>
      <c r="G116" s="90">
        <v>217407.73</v>
      </c>
      <c r="H116" s="90">
        <v>28375.759999999998</v>
      </c>
      <c r="I116" s="90">
        <v>-1.45519152283669E-11</v>
      </c>
      <c r="J116" s="90">
        <v>-1.45519152283669E-11</v>
      </c>
      <c r="K116" s="90">
        <v>-1.45519152283669E-11</v>
      </c>
      <c r="L116" s="90">
        <v>-1.45519152283669E-11</v>
      </c>
      <c r="M116" s="90">
        <v>-1.45519152283669E-11</v>
      </c>
      <c r="N116" s="90">
        <v>-1.45519152283669E-11</v>
      </c>
      <c r="O116" s="90">
        <v>50000</v>
      </c>
      <c r="P116" s="90">
        <v>280000</v>
      </c>
      <c r="Q116" s="90">
        <v>280000</v>
      </c>
      <c r="R116" s="90">
        <v>8241.7599999999893</v>
      </c>
    </row>
    <row r="117" spans="2:18" outlineLevel="1">
      <c r="B117" s="33" t="s">
        <v>229</v>
      </c>
      <c r="C117" s="14" t="str">
        <f t="shared" si="15"/>
        <v>Show</v>
      </c>
      <c r="D117" s="89">
        <v>233506.1</v>
      </c>
      <c r="E117" s="95"/>
      <c r="F117" s="90">
        <v>89470.48</v>
      </c>
      <c r="G117" s="90">
        <v>99015</v>
      </c>
      <c r="H117" s="90">
        <v>160657.37</v>
      </c>
      <c r="I117" s="90">
        <v>48989.85</v>
      </c>
      <c r="J117" s="90">
        <v>0</v>
      </c>
      <c r="K117" s="90">
        <v>26683.05</v>
      </c>
      <c r="L117" s="90">
        <v>80386.86</v>
      </c>
      <c r="M117" s="90">
        <v>804.79</v>
      </c>
      <c r="N117" s="90">
        <v>25989.46</v>
      </c>
      <c r="O117" s="90">
        <v>51040</v>
      </c>
      <c r="P117" s="90">
        <v>42681.59</v>
      </c>
      <c r="Q117" s="90">
        <v>59225.35</v>
      </c>
      <c r="R117" s="90">
        <v>233506.1</v>
      </c>
    </row>
    <row r="118" spans="2:18" outlineLevel="1">
      <c r="B118" s="33"/>
      <c r="C118" s="33"/>
      <c r="D118" s="89"/>
      <c r="E118" s="95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2:18">
      <c r="B119" s="34" t="s">
        <v>35</v>
      </c>
      <c r="C119" s="14" t="str">
        <f t="shared" ref="C119:C120" si="16">IF(SUMSQ(F119:R119)=0,"Hide","Show")</f>
        <v>Hide</v>
      </c>
      <c r="D119" s="89">
        <v>0</v>
      </c>
      <c r="E119" s="94"/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 s="90">
        <v>0</v>
      </c>
    </row>
    <row r="120" spans="2:18" outlineLevel="1">
      <c r="B120" s="33" t="s">
        <v>251</v>
      </c>
      <c r="C120" s="14" t="str">
        <f t="shared" si="16"/>
        <v>Hide</v>
      </c>
      <c r="D120" s="89">
        <v>0</v>
      </c>
      <c r="E120" s="95"/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 s="90">
        <v>0</v>
      </c>
    </row>
    <row r="121" spans="2:18" outlineLevel="1">
      <c r="B121" s="33"/>
      <c r="C121" s="33"/>
      <c r="D121" s="89"/>
      <c r="E121" s="95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</row>
    <row r="122" spans="2:18">
      <c r="B122" s="34" t="s">
        <v>283</v>
      </c>
      <c r="C122" s="14" t="str">
        <f t="shared" ref="C122:C124" si="17">IF(SUMSQ(F122:R122)=0,"Hide","Show")</f>
        <v>Show</v>
      </c>
      <c r="D122" s="89">
        <v>0</v>
      </c>
      <c r="E122" s="94"/>
      <c r="F122" s="90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155015</v>
      </c>
      <c r="L122" s="90">
        <v>155015</v>
      </c>
      <c r="M122" s="90">
        <v>155015</v>
      </c>
      <c r="N122" s="90">
        <v>155015</v>
      </c>
      <c r="O122" s="90">
        <v>0</v>
      </c>
      <c r="P122" s="90">
        <v>0</v>
      </c>
      <c r="Q122" s="90">
        <v>0</v>
      </c>
      <c r="R122" s="90">
        <v>0</v>
      </c>
    </row>
    <row r="123" spans="2:18" outlineLevel="1">
      <c r="B123" s="33" t="s">
        <v>273</v>
      </c>
      <c r="C123" s="14" t="str">
        <f t="shared" si="17"/>
        <v>Hide</v>
      </c>
      <c r="D123" s="89">
        <v>0</v>
      </c>
      <c r="E123" s="95"/>
      <c r="F123" s="90">
        <v>0</v>
      </c>
      <c r="G123" s="90">
        <v>0</v>
      </c>
      <c r="H123" s="90">
        <v>0</v>
      </c>
      <c r="I123" s="90">
        <v>0</v>
      </c>
      <c r="J123" s="90">
        <v>0</v>
      </c>
      <c r="K123" s="90">
        <v>0</v>
      </c>
      <c r="L123" s="90">
        <v>0</v>
      </c>
      <c r="M123" s="90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0</v>
      </c>
    </row>
    <row r="124" spans="2:18" outlineLevel="1">
      <c r="B124" s="33" t="s">
        <v>237</v>
      </c>
      <c r="C124" s="14" t="str">
        <f t="shared" si="17"/>
        <v>Show</v>
      </c>
      <c r="D124" s="89">
        <v>0</v>
      </c>
      <c r="E124" s="95"/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155015</v>
      </c>
      <c r="L124" s="90">
        <v>155015</v>
      </c>
      <c r="M124" s="90">
        <v>155015</v>
      </c>
      <c r="N124" s="90">
        <v>155015</v>
      </c>
      <c r="O124" s="90">
        <v>0</v>
      </c>
      <c r="P124" s="90">
        <v>0</v>
      </c>
      <c r="Q124" s="90">
        <v>0</v>
      </c>
      <c r="R124" s="90">
        <v>0</v>
      </c>
    </row>
    <row r="125" spans="2:18" outlineLevel="1">
      <c r="B125" s="33"/>
      <c r="C125" s="33"/>
      <c r="D125" s="89"/>
      <c r="E125" s="95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</row>
    <row r="126" spans="2:18">
      <c r="B126" s="34" t="s">
        <v>184</v>
      </c>
      <c r="C126" s="14" t="str">
        <f t="shared" ref="C126:C127" si="18">IF(SUMSQ(F126:R126)=0,"Hide","Show")</f>
        <v>Hide</v>
      </c>
      <c r="D126" s="89">
        <v>0</v>
      </c>
      <c r="E126" s="94"/>
      <c r="F126" s="90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</row>
    <row r="127" spans="2:18" outlineLevel="1">
      <c r="B127" s="33" t="s">
        <v>178</v>
      </c>
      <c r="C127" s="14" t="str">
        <f t="shared" si="18"/>
        <v>Hide</v>
      </c>
      <c r="D127" s="89">
        <v>0</v>
      </c>
      <c r="E127" s="95"/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</row>
    <row r="128" spans="2:18" outlineLevel="1">
      <c r="B128" s="33"/>
      <c r="C128" s="33"/>
      <c r="D128" s="89"/>
      <c r="E128" s="95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</row>
    <row r="129" spans="2:18">
      <c r="B129" s="33"/>
      <c r="C129" s="33"/>
      <c r="D129" s="89"/>
      <c r="E129" s="95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</row>
    <row r="130" spans="2:18">
      <c r="B130" s="54" t="s">
        <v>17</v>
      </c>
      <c r="C130" s="14" t="str">
        <f>IF(SUMSQ(F130:R130)=0,"Hide","Show")</f>
        <v>Show</v>
      </c>
      <c r="D130" s="96">
        <v>344899.08</v>
      </c>
      <c r="E130" s="98"/>
      <c r="F130" s="97">
        <v>306878.21000000002</v>
      </c>
      <c r="G130" s="97">
        <v>316422.73</v>
      </c>
      <c r="H130" s="97">
        <v>189033.13</v>
      </c>
      <c r="I130" s="97">
        <v>48989.85</v>
      </c>
      <c r="J130" s="97">
        <v>-1.45519152283669E-11</v>
      </c>
      <c r="K130" s="97">
        <v>181698.05</v>
      </c>
      <c r="L130" s="97">
        <v>235401.86</v>
      </c>
      <c r="M130" s="97">
        <v>173011.66</v>
      </c>
      <c r="N130" s="97">
        <v>215388.2</v>
      </c>
      <c r="O130" s="97">
        <v>152615.60999999999</v>
      </c>
      <c r="P130" s="97">
        <v>391449.07</v>
      </c>
      <c r="Q130" s="97">
        <v>425184.7</v>
      </c>
      <c r="R130" s="97">
        <v>344899.08</v>
      </c>
    </row>
    <row r="131" spans="2:18">
      <c r="B131" s="33"/>
      <c r="C131" s="33"/>
      <c r="D131" s="89"/>
      <c r="E131" s="95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</row>
    <row r="132" spans="2:18">
      <c r="B132" s="23" t="s">
        <v>18</v>
      </c>
      <c r="C132" s="23"/>
      <c r="D132" s="89"/>
      <c r="E132" s="91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</row>
    <row r="133" spans="2:18">
      <c r="B133" s="35"/>
      <c r="C133" s="35"/>
      <c r="D133" s="89"/>
      <c r="E133" s="98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</row>
    <row r="134" spans="2:18">
      <c r="B134" s="34" t="s">
        <v>194</v>
      </c>
      <c r="C134" s="14" t="str">
        <f t="shared" ref="C134:C135" si="19">IF(SUMSQ(F134:R134)=0,"Hide","Show")</f>
        <v>Show</v>
      </c>
      <c r="D134" s="89">
        <v>7504.4</v>
      </c>
      <c r="E134" s="94"/>
      <c r="F134" s="90">
        <v>7504.4</v>
      </c>
      <c r="G134" s="90">
        <v>7504.4</v>
      </c>
      <c r="H134" s="90">
        <v>7504.4</v>
      </c>
      <c r="I134" s="90">
        <v>7504.4</v>
      </c>
      <c r="J134" s="90">
        <v>7504.4</v>
      </c>
      <c r="K134" s="90">
        <v>7504.4</v>
      </c>
      <c r="L134" s="90">
        <v>7504.4</v>
      </c>
      <c r="M134" s="90">
        <v>7504.4</v>
      </c>
      <c r="N134" s="90">
        <v>7504.4</v>
      </c>
      <c r="O134" s="90">
        <v>7504.4</v>
      </c>
      <c r="P134" s="90">
        <v>7504.4</v>
      </c>
      <c r="Q134" s="90">
        <v>7504.4</v>
      </c>
      <c r="R134" s="90">
        <v>7504.4</v>
      </c>
    </row>
    <row r="135" spans="2:18" outlineLevel="1">
      <c r="B135" s="33" t="s">
        <v>174</v>
      </c>
      <c r="C135" s="14" t="str">
        <f t="shared" si="19"/>
        <v>Show</v>
      </c>
      <c r="D135" s="89">
        <v>7504.4</v>
      </c>
      <c r="E135" s="95"/>
      <c r="F135" s="90">
        <v>7504.4</v>
      </c>
      <c r="G135" s="90">
        <v>7504.4</v>
      </c>
      <c r="H135" s="90">
        <v>7504.4</v>
      </c>
      <c r="I135" s="90">
        <v>7504.4</v>
      </c>
      <c r="J135" s="90">
        <v>7504.4</v>
      </c>
      <c r="K135" s="90">
        <v>7504.4</v>
      </c>
      <c r="L135" s="90">
        <v>7504.4</v>
      </c>
      <c r="M135" s="90">
        <v>7504.4</v>
      </c>
      <c r="N135" s="90">
        <v>7504.4</v>
      </c>
      <c r="O135" s="90">
        <v>7504.4</v>
      </c>
      <c r="P135" s="90">
        <v>7504.4</v>
      </c>
      <c r="Q135" s="90">
        <v>7504.4</v>
      </c>
      <c r="R135" s="90">
        <v>7504.4</v>
      </c>
    </row>
    <row r="136" spans="2:18" outlineLevel="1">
      <c r="B136" s="33"/>
      <c r="C136" s="33"/>
      <c r="D136" s="89"/>
      <c r="E136" s="95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</row>
    <row r="137" spans="2:18">
      <c r="B137" s="34" t="s">
        <v>245</v>
      </c>
      <c r="C137" s="14" t="str">
        <f t="shared" ref="C137:C140" si="20">IF(SUMSQ(F137:R137)=0,"Hide","Show")</f>
        <v>Hide</v>
      </c>
      <c r="D137" s="89">
        <v>0</v>
      </c>
      <c r="E137" s="94"/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</row>
    <row r="138" spans="2:18" outlineLevel="1">
      <c r="B138" s="33" t="s">
        <v>227</v>
      </c>
      <c r="C138" s="14" t="str">
        <f t="shared" si="20"/>
        <v>Hide</v>
      </c>
      <c r="D138" s="89">
        <v>0</v>
      </c>
      <c r="E138" s="95"/>
      <c r="F138" s="90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</row>
    <row r="139" spans="2:18" outlineLevel="1">
      <c r="B139" s="33" t="s">
        <v>177</v>
      </c>
      <c r="C139" s="14" t="str">
        <f t="shared" ref="C139" si="21">IF(SUMSQ(F139:R139)=0,"Hide","Show")</f>
        <v>Hide</v>
      </c>
      <c r="D139" s="89">
        <v>0</v>
      </c>
      <c r="E139" s="95"/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f>D190+0</f>
        <v>0</v>
      </c>
    </row>
    <row r="140" spans="2:18" outlineLevel="1">
      <c r="B140" s="33" t="s">
        <v>185</v>
      </c>
      <c r="C140" s="14" t="str">
        <f t="shared" si="20"/>
        <v>Hide</v>
      </c>
      <c r="D140" s="89">
        <v>0</v>
      </c>
      <c r="E140" s="95"/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 s="90">
        <v>0</v>
      </c>
    </row>
    <row r="141" spans="2:18" outlineLevel="1">
      <c r="B141" s="33"/>
      <c r="C141" s="33"/>
      <c r="D141" s="89"/>
      <c r="E141" s="95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</row>
    <row r="142" spans="2:18">
      <c r="B142" s="34" t="s">
        <v>265</v>
      </c>
      <c r="C142" s="14" t="str">
        <f t="shared" ref="C142:C143" si="22">IF(SUMSQ(F142:R142)=0,"Hide","Show")</f>
        <v>Hide</v>
      </c>
      <c r="D142" s="89">
        <v>0</v>
      </c>
      <c r="E142" s="94"/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</row>
    <row r="143" spans="2:18" outlineLevel="1">
      <c r="B143" s="33" t="s">
        <v>254</v>
      </c>
      <c r="C143" s="14" t="str">
        <f t="shared" si="22"/>
        <v>Hide</v>
      </c>
      <c r="D143" s="89">
        <v>0</v>
      </c>
      <c r="E143" s="95"/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</row>
    <row r="144" spans="2:18" outlineLevel="1">
      <c r="B144" s="33"/>
      <c r="C144" s="33"/>
      <c r="D144" s="89"/>
      <c r="E144" s="95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</row>
    <row r="145" spans="2:19">
      <c r="B145" s="34" t="s">
        <v>179</v>
      </c>
      <c r="C145" s="14" t="str">
        <f t="shared" ref="C145:C150" si="23">IF(SUMSQ(F145:R145)=0,"Hide","Show")</f>
        <v>Show</v>
      </c>
      <c r="D145" s="89">
        <v>1869676.84</v>
      </c>
      <c r="E145" s="94"/>
      <c r="F145" s="90">
        <v>1509661.84</v>
      </c>
      <c r="G145" s="90">
        <v>1509661.84</v>
      </c>
      <c r="H145" s="90">
        <v>1509661.84</v>
      </c>
      <c r="I145" s="90">
        <v>1509661.84</v>
      </c>
      <c r="J145" s="90">
        <v>1509661.84</v>
      </c>
      <c r="K145" s="90">
        <v>1509661.84</v>
      </c>
      <c r="L145" s="90">
        <v>1509661.84</v>
      </c>
      <c r="M145" s="90">
        <v>1509661.84</v>
      </c>
      <c r="N145" s="90">
        <v>1509661.84</v>
      </c>
      <c r="O145" s="90">
        <v>1869676.84</v>
      </c>
      <c r="P145" s="90">
        <v>1869676.84</v>
      </c>
      <c r="Q145" s="90">
        <v>1869676.84</v>
      </c>
      <c r="R145" s="90">
        <v>1869676.84</v>
      </c>
    </row>
    <row r="146" spans="2:19" outlineLevel="1">
      <c r="B146" s="33" t="s">
        <v>187</v>
      </c>
      <c r="C146" s="14" t="str">
        <f t="shared" si="23"/>
        <v>Hide</v>
      </c>
      <c r="D146" s="89">
        <v>0</v>
      </c>
      <c r="E146" s="95"/>
      <c r="F146" s="90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</row>
    <row r="147" spans="2:19" outlineLevel="1">
      <c r="B147" s="33" t="s">
        <v>198</v>
      </c>
      <c r="C147" s="14" t="str">
        <f t="shared" ref="C147:C149" si="24">IF(SUMSQ(F147:R147)=0,"Hide","Show")</f>
        <v>Show</v>
      </c>
      <c r="D147" s="89">
        <v>0</v>
      </c>
      <c r="E147" s="95"/>
      <c r="F147" s="90">
        <v>1509661.84</v>
      </c>
      <c r="G147" s="90">
        <v>1509661.84</v>
      </c>
      <c r="H147" s="90">
        <v>1509661.84</v>
      </c>
      <c r="I147" s="90">
        <v>1509661.84</v>
      </c>
      <c r="J147" s="90">
        <v>1509661.84</v>
      </c>
      <c r="K147" s="90">
        <v>1509661.84</v>
      </c>
      <c r="L147" s="90">
        <v>1509661.84</v>
      </c>
      <c r="M147" s="90">
        <v>1509661.84</v>
      </c>
      <c r="N147" s="90">
        <v>1509661.84</v>
      </c>
      <c r="O147" s="90">
        <v>0</v>
      </c>
      <c r="P147" s="90">
        <v>0</v>
      </c>
      <c r="Q147" s="90">
        <v>0</v>
      </c>
      <c r="R147" s="90">
        <v>0</v>
      </c>
      <c r="S147" s="82"/>
    </row>
    <row r="148" spans="2:19" outlineLevel="1">
      <c r="B148" s="33" t="s">
        <v>33</v>
      </c>
      <c r="C148" s="14" t="str">
        <f t="shared" si="24"/>
        <v>Hide</v>
      </c>
      <c r="D148" s="89">
        <v>0</v>
      </c>
      <c r="E148" s="95"/>
      <c r="F148" s="90">
        <v>0</v>
      </c>
      <c r="G148" s="90">
        <v>0</v>
      </c>
      <c r="H148" s="90">
        <v>0</v>
      </c>
      <c r="I148" s="90">
        <v>0</v>
      </c>
      <c r="J148" s="90">
        <v>0</v>
      </c>
      <c r="K148" s="90">
        <v>0</v>
      </c>
      <c r="L148" s="90">
        <v>0</v>
      </c>
      <c r="M148" s="90">
        <v>0</v>
      </c>
      <c r="N148" s="90">
        <v>0</v>
      </c>
      <c r="O148" s="90">
        <v>0</v>
      </c>
      <c r="P148" s="90">
        <v>0</v>
      </c>
      <c r="Q148" s="90">
        <v>0</v>
      </c>
      <c r="R148" s="90">
        <v>0</v>
      </c>
    </row>
    <row r="149" spans="2:19" outlineLevel="1">
      <c r="B149" s="33" t="s">
        <v>180</v>
      </c>
      <c r="C149" s="14" t="str">
        <f t="shared" si="24"/>
        <v>Hide</v>
      </c>
      <c r="D149" s="89">
        <v>0</v>
      </c>
      <c r="E149" s="95"/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</row>
    <row r="150" spans="2:19" outlineLevel="1">
      <c r="B150" s="33" t="s">
        <v>176</v>
      </c>
      <c r="C150" s="14" t="str">
        <f t="shared" si="23"/>
        <v>Show</v>
      </c>
      <c r="D150" s="89">
        <v>1869676.84</v>
      </c>
      <c r="E150" s="95"/>
      <c r="F150" s="90">
        <v>0</v>
      </c>
      <c r="G150" s="90">
        <v>0</v>
      </c>
      <c r="H150" s="90">
        <v>0</v>
      </c>
      <c r="I150" s="90">
        <v>0</v>
      </c>
      <c r="J150" s="90">
        <v>0</v>
      </c>
      <c r="K150" s="90">
        <v>0</v>
      </c>
      <c r="L150" s="90">
        <v>0</v>
      </c>
      <c r="M150" s="90">
        <v>0</v>
      </c>
      <c r="N150" s="90">
        <v>0</v>
      </c>
      <c r="O150" s="90">
        <v>1869676.84</v>
      </c>
      <c r="P150" s="90">
        <v>1869676.84</v>
      </c>
      <c r="Q150" s="90">
        <v>1869676.84</v>
      </c>
      <c r="R150" s="90">
        <v>1869676.84</v>
      </c>
    </row>
    <row r="151" spans="2:19" outlineLevel="1">
      <c r="B151" s="33"/>
      <c r="C151" s="33"/>
      <c r="D151" s="89"/>
      <c r="E151" s="95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2:19">
      <c r="B152" s="34" t="s">
        <v>175</v>
      </c>
      <c r="C152" s="14" t="str">
        <f t="shared" ref="C152:C153" si="25">IF(SUMSQ(F152:R152)=0,"Hide","Show")</f>
        <v>Hide</v>
      </c>
      <c r="D152" s="89">
        <v>0</v>
      </c>
      <c r="E152" s="94"/>
      <c r="F152" s="90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</row>
    <row r="153" spans="2:19" outlineLevel="1">
      <c r="B153" s="33" t="s">
        <v>196</v>
      </c>
      <c r="C153" s="14" t="str">
        <f t="shared" si="25"/>
        <v>Hide</v>
      </c>
      <c r="D153" s="89">
        <v>0</v>
      </c>
      <c r="E153" s="95"/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</row>
    <row r="154" spans="2:19" outlineLevel="1">
      <c r="B154" s="33"/>
      <c r="C154" s="33"/>
      <c r="D154" s="89"/>
      <c r="E154" s="95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spans="2:19">
      <c r="B155" s="34" t="s">
        <v>244</v>
      </c>
      <c r="C155" s="14" t="str">
        <f t="shared" ref="C155:C156" si="26">IF(SUMSQ(F155:R155)=0,"Hide","Show")</f>
        <v>Show</v>
      </c>
      <c r="D155" s="89">
        <v>1794046.57</v>
      </c>
      <c r="E155" s="94"/>
      <c r="F155" s="90">
        <v>383324.7</v>
      </c>
      <c r="G155" s="90">
        <v>385729.52</v>
      </c>
      <c r="H155" s="90">
        <v>886916</v>
      </c>
      <c r="I155" s="90">
        <v>806208.48</v>
      </c>
      <c r="J155" s="90">
        <v>785106.96</v>
      </c>
      <c r="K155" s="90">
        <v>812947.29</v>
      </c>
      <c r="L155" s="90">
        <v>712840.28</v>
      </c>
      <c r="M155" s="90">
        <v>1088798.6299999999</v>
      </c>
      <c r="N155" s="90">
        <v>1185791.26</v>
      </c>
      <c r="O155" s="90">
        <v>1430601.75</v>
      </c>
      <c r="P155" s="90">
        <v>1598745.37</v>
      </c>
      <c r="Q155" s="90">
        <v>1635377.55</v>
      </c>
      <c r="R155" s="90">
        <v>1794046.57</v>
      </c>
    </row>
    <row r="156" spans="2:19" outlineLevel="1">
      <c r="B156" s="33" t="s">
        <v>222</v>
      </c>
      <c r="C156" s="14" t="str">
        <f t="shared" si="26"/>
        <v>Show</v>
      </c>
      <c r="D156" s="89">
        <v>1794046.57</v>
      </c>
      <c r="E156" s="95"/>
      <c r="F156" s="90">
        <v>383324.7</v>
      </c>
      <c r="G156" s="90">
        <v>385729.52</v>
      </c>
      <c r="H156" s="90">
        <v>886916</v>
      </c>
      <c r="I156" s="90">
        <v>806208.48</v>
      </c>
      <c r="J156" s="90">
        <v>785106.96</v>
      </c>
      <c r="K156" s="90">
        <v>812947.29</v>
      </c>
      <c r="L156" s="90">
        <v>712840.28</v>
      </c>
      <c r="M156" s="90">
        <v>1088798.6299999999</v>
      </c>
      <c r="N156" s="90">
        <v>1185791.26</v>
      </c>
      <c r="O156" s="90">
        <v>1430601.75</v>
      </c>
      <c r="P156" s="90">
        <v>1598745.37</v>
      </c>
      <c r="Q156" s="90">
        <v>1635377.55</v>
      </c>
      <c r="R156" s="90">
        <v>1794046.57</v>
      </c>
    </row>
    <row r="157" spans="2:19" outlineLevel="1">
      <c r="B157" s="33"/>
      <c r="C157" s="33"/>
      <c r="D157" s="89"/>
      <c r="E157" s="95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2:19">
      <c r="B158" s="54" t="s">
        <v>258</v>
      </c>
      <c r="C158" s="14" t="str">
        <f>IF(SUMSQ(F158:R158)=0,"Hide","Show")</f>
        <v>Show</v>
      </c>
      <c r="D158" s="96">
        <v>3671227.81</v>
      </c>
      <c r="E158" s="98"/>
      <c r="F158" s="97">
        <v>1900490.94</v>
      </c>
      <c r="G158" s="97">
        <v>1902895.76</v>
      </c>
      <c r="H158" s="97">
        <v>2404082.2400000002</v>
      </c>
      <c r="I158" s="97">
        <v>2323374.7200000002</v>
      </c>
      <c r="J158" s="97">
        <v>2302273.2000000002</v>
      </c>
      <c r="K158" s="97">
        <v>2330113.5299999998</v>
      </c>
      <c r="L158" s="97">
        <v>2230006.52</v>
      </c>
      <c r="M158" s="97">
        <v>2605964.87</v>
      </c>
      <c r="N158" s="97">
        <v>2702957.5</v>
      </c>
      <c r="O158" s="97">
        <v>3307782.99</v>
      </c>
      <c r="P158" s="97">
        <v>3475926.61</v>
      </c>
      <c r="Q158" s="97">
        <v>3512558.79</v>
      </c>
      <c r="R158" s="97">
        <v>3671227.81</v>
      </c>
    </row>
    <row r="159" spans="2:19">
      <c r="B159" s="33"/>
      <c r="C159" s="33"/>
      <c r="D159" s="89"/>
      <c r="E159" s="95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</row>
    <row r="160" spans="2:19">
      <c r="B160" s="55" t="s">
        <v>269</v>
      </c>
      <c r="C160" s="14" t="str">
        <f>IF(SUMSQ(F160:R160)=0,"Hide","Show")</f>
        <v>Show</v>
      </c>
      <c r="D160" s="99">
        <v>4016126.89</v>
      </c>
      <c r="E160" s="91"/>
      <c r="F160" s="99">
        <v>2207369.15</v>
      </c>
      <c r="G160" s="99">
        <v>2219318.4900000002</v>
      </c>
      <c r="H160" s="99">
        <v>2593115.37</v>
      </c>
      <c r="I160" s="99">
        <v>2372364.5699999998</v>
      </c>
      <c r="J160" s="99">
        <v>2302273.2000000002</v>
      </c>
      <c r="K160" s="99">
        <v>2511811.58</v>
      </c>
      <c r="L160" s="99">
        <v>2465408.38</v>
      </c>
      <c r="M160" s="99">
        <v>2778976.53</v>
      </c>
      <c r="N160" s="99">
        <v>2918345.7</v>
      </c>
      <c r="O160" s="99">
        <v>3460398.6</v>
      </c>
      <c r="P160" s="99">
        <v>3867375.68</v>
      </c>
      <c r="Q160" s="99">
        <v>3937743.49</v>
      </c>
      <c r="R160" s="99">
        <v>4016126.89</v>
      </c>
    </row>
    <row r="161" spans="2:19">
      <c r="B161" s="33"/>
      <c r="C161" s="33"/>
      <c r="D161" s="89"/>
      <c r="E161" s="95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</row>
    <row r="162" spans="2:19" s="1" customFormat="1" ht="15.75" thickBot="1">
      <c r="B162" s="57" t="s">
        <v>19</v>
      </c>
      <c r="C162" s="14" t="str">
        <f>IF(SUMSQ(F162:R162)=0,"Hide","Show")</f>
        <v>Show</v>
      </c>
      <c r="D162" s="100">
        <v>-2708046.7</v>
      </c>
      <c r="E162" s="101"/>
      <c r="F162" s="100">
        <f t="shared" ref="F162:R162" si="27">F88-F160</f>
        <v>-1760084.0099999998</v>
      </c>
      <c r="G162" s="100">
        <f t="shared" si="27"/>
        <v>-1817893.3800000004</v>
      </c>
      <c r="H162" s="100">
        <f t="shared" si="27"/>
        <v>-2069827.03</v>
      </c>
      <c r="I162" s="100">
        <f t="shared" si="27"/>
        <v>-2038284.9499999997</v>
      </c>
      <c r="J162" s="100">
        <f t="shared" si="27"/>
        <v>-1934628.1</v>
      </c>
      <c r="K162" s="100">
        <f t="shared" si="27"/>
        <v>-2035568.8</v>
      </c>
      <c r="L162" s="100">
        <f t="shared" si="27"/>
        <v>-2049299.22</v>
      </c>
      <c r="M162" s="100">
        <f t="shared" si="27"/>
        <v>-2340260.98</v>
      </c>
      <c r="N162" s="100">
        <f t="shared" si="27"/>
        <v>-2367935.7600000002</v>
      </c>
      <c r="O162" s="100">
        <f t="shared" si="27"/>
        <v>-2424321.77</v>
      </c>
      <c r="P162" s="100">
        <f t="shared" si="27"/>
        <v>-2774766.6</v>
      </c>
      <c r="Q162" s="100">
        <f t="shared" si="27"/>
        <v>-2745159.0500000003</v>
      </c>
      <c r="R162" s="100">
        <f t="shared" si="27"/>
        <v>-2708046.7</v>
      </c>
    </row>
    <row r="163" spans="2:19" ht="15.75" thickTop="1">
      <c r="B163" s="33"/>
      <c r="C163" s="33"/>
      <c r="D163" s="89"/>
      <c r="E163" s="95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</row>
    <row r="164" spans="2:19">
      <c r="B164" s="33"/>
      <c r="C164" s="33"/>
      <c r="D164" s="89"/>
      <c r="E164" s="95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</row>
    <row r="165" spans="2:19">
      <c r="B165" s="23" t="s">
        <v>20</v>
      </c>
      <c r="C165" s="23"/>
      <c r="D165" s="89"/>
      <c r="E165" s="91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</row>
    <row r="166" spans="2:19">
      <c r="B166" s="50"/>
      <c r="C166" s="50"/>
      <c r="D166" s="89"/>
      <c r="E166" s="91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</row>
    <row r="167" spans="2:19">
      <c r="B167" s="35" t="s">
        <v>278</v>
      </c>
      <c r="C167" s="14" t="str">
        <f t="shared" ref="C167:C169" si="28">IF(SUMSQ(F167:R167)=0,"Hide","Show")</f>
        <v>Show</v>
      </c>
      <c r="D167" s="89">
        <v>-2708146.7</v>
      </c>
      <c r="E167" s="98"/>
      <c r="F167" s="90">
        <v>-1760184.01</v>
      </c>
      <c r="G167" s="90">
        <v>-1817993.38</v>
      </c>
      <c r="H167" s="90">
        <v>-2069927.03</v>
      </c>
      <c r="I167" s="90">
        <v>-2038384.95</v>
      </c>
      <c r="J167" s="90">
        <v>-1934728.1</v>
      </c>
      <c r="K167" s="90">
        <v>-2035668.8</v>
      </c>
      <c r="L167" s="90">
        <v>-2049399.22</v>
      </c>
      <c r="M167" s="90">
        <v>-2340360.98</v>
      </c>
      <c r="N167" s="90">
        <v>-2368035.7599999998</v>
      </c>
      <c r="O167" s="90">
        <v>-2424421.77</v>
      </c>
      <c r="P167" s="90">
        <v>-2774866.6</v>
      </c>
      <c r="Q167" s="90">
        <f>544991.95000002+-2745259.05</f>
        <v>-2200267.0999999801</v>
      </c>
      <c r="R167" s="90">
        <v>-2708146.7</v>
      </c>
      <c r="S167" s="82"/>
    </row>
    <row r="168" spans="2:19" outlineLevel="1">
      <c r="B168" s="34" t="s">
        <v>209</v>
      </c>
      <c r="C168" s="14" t="str">
        <f t="shared" si="28"/>
        <v>Show</v>
      </c>
      <c r="D168" s="89">
        <v>-947962.69</v>
      </c>
      <c r="E168" s="94"/>
      <c r="F168" s="90">
        <v>-920421.17</v>
      </c>
      <c r="G168" s="90">
        <v>-57809.37</v>
      </c>
      <c r="H168" s="90">
        <v>-309743.02</v>
      </c>
      <c r="I168" s="90">
        <v>-278200.94</v>
      </c>
      <c r="J168" s="90">
        <v>-174544.09</v>
      </c>
      <c r="K168" s="90">
        <v>-275484.78999999998</v>
      </c>
      <c r="L168" s="90">
        <v>-289215.21000000002</v>
      </c>
      <c r="M168" s="90">
        <v>-580176.97</v>
      </c>
      <c r="N168" s="90">
        <v>-607851.75</v>
      </c>
      <c r="O168" s="90">
        <v>-664237.76</v>
      </c>
      <c r="P168" s="90">
        <v>-1014682.59</v>
      </c>
      <c r="Q168" s="90">
        <v>-985075.04</v>
      </c>
      <c r="R168" s="90">
        <v>-947962.69</v>
      </c>
    </row>
    <row r="169" spans="2:19" outlineLevel="1">
      <c r="B169" s="34" t="s">
        <v>217</v>
      </c>
      <c r="C169" s="14" t="str">
        <f t="shared" si="28"/>
        <v>Show</v>
      </c>
      <c r="D169" s="89">
        <v>-1760184.01</v>
      </c>
      <c r="E169" s="94"/>
      <c r="F169" s="90">
        <v>-839762.84</v>
      </c>
      <c r="G169" s="90">
        <v>-1760184.01</v>
      </c>
      <c r="H169" s="90">
        <v>-1760184.01</v>
      </c>
      <c r="I169" s="90">
        <v>-1760184.01</v>
      </c>
      <c r="J169" s="90">
        <v>-1760184.01</v>
      </c>
      <c r="K169" s="90">
        <v>-1760184.01</v>
      </c>
      <c r="L169" s="90">
        <v>-1760184.01</v>
      </c>
      <c r="M169" s="90">
        <v>-1760184.01</v>
      </c>
      <c r="N169" s="90">
        <v>-1760184.01</v>
      </c>
      <c r="O169" s="90">
        <v>-1760184.01</v>
      </c>
      <c r="P169" s="90">
        <v>-1760184.01</v>
      </c>
      <c r="Q169" s="90">
        <v>-1760184.01</v>
      </c>
      <c r="R169" s="90">
        <v>-1760184.01</v>
      </c>
      <c r="S169" s="82"/>
    </row>
    <row r="170" spans="2:19" outlineLevel="1">
      <c r="B170" s="34"/>
      <c r="C170" s="34"/>
      <c r="D170" s="89"/>
      <c r="E170" s="94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</row>
    <row r="171" spans="2:19">
      <c r="B171" s="35" t="s">
        <v>216</v>
      </c>
      <c r="C171" s="14" t="str">
        <f t="shared" ref="C171:C173" si="29">IF(SUMSQ(F171:R171)=0,"Hide","Show")</f>
        <v>Hide</v>
      </c>
      <c r="D171" s="89">
        <v>0</v>
      </c>
      <c r="E171" s="98"/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</row>
    <row r="172" spans="2:19" outlineLevel="1">
      <c r="B172" s="34" t="s">
        <v>275</v>
      </c>
      <c r="C172" s="14" t="str">
        <f t="shared" si="29"/>
        <v>Hide</v>
      </c>
      <c r="D172" s="89">
        <v>0</v>
      </c>
      <c r="E172" s="94"/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</row>
    <row r="173" spans="2:19" outlineLevel="1">
      <c r="B173" s="34" t="s">
        <v>204</v>
      </c>
      <c r="C173" s="14" t="str">
        <f t="shared" si="29"/>
        <v>Hide</v>
      </c>
      <c r="D173" s="89">
        <v>0</v>
      </c>
      <c r="E173" s="94"/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</row>
    <row r="174" spans="2:19" outlineLevel="1">
      <c r="B174" s="34"/>
      <c r="C174" s="34"/>
      <c r="D174" s="89"/>
      <c r="E174" s="94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</row>
    <row r="175" spans="2:19">
      <c r="B175" s="35" t="s">
        <v>230</v>
      </c>
      <c r="C175" s="14" t="str">
        <f t="shared" ref="C175:C177" si="30">IF(SUMSQ(F175:R175)=0,"Hide","Show")</f>
        <v>Show</v>
      </c>
      <c r="D175" s="89">
        <v>100</v>
      </c>
      <c r="E175" s="98"/>
      <c r="F175" s="90">
        <v>100</v>
      </c>
      <c r="G175" s="90">
        <v>100</v>
      </c>
      <c r="H175" s="90">
        <v>100</v>
      </c>
      <c r="I175" s="90">
        <v>100</v>
      </c>
      <c r="J175" s="90">
        <v>100</v>
      </c>
      <c r="K175" s="90">
        <v>100</v>
      </c>
      <c r="L175" s="90">
        <v>100</v>
      </c>
      <c r="M175" s="90">
        <v>100</v>
      </c>
      <c r="N175" s="90">
        <v>100</v>
      </c>
      <c r="O175" s="90">
        <v>100</v>
      </c>
      <c r="P175" s="90">
        <v>100</v>
      </c>
      <c r="Q175" s="90">
        <v>100</v>
      </c>
      <c r="R175" s="90">
        <v>100</v>
      </c>
    </row>
    <row r="176" spans="2:19" outlineLevel="1">
      <c r="B176" s="34" t="s">
        <v>186</v>
      </c>
      <c r="C176" s="14" t="str">
        <f t="shared" si="30"/>
        <v>Hide</v>
      </c>
      <c r="D176" s="89">
        <v>0</v>
      </c>
      <c r="E176" s="94"/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</row>
    <row r="177" spans="2:19" outlineLevel="1">
      <c r="B177" s="34" t="s">
        <v>233</v>
      </c>
      <c r="C177" s="14" t="str">
        <f t="shared" si="30"/>
        <v>Show</v>
      </c>
      <c r="D177" s="89">
        <v>100</v>
      </c>
      <c r="E177" s="94"/>
      <c r="F177" s="90">
        <v>100</v>
      </c>
      <c r="G177" s="90">
        <v>100</v>
      </c>
      <c r="H177" s="90">
        <v>100</v>
      </c>
      <c r="I177" s="90">
        <v>100</v>
      </c>
      <c r="J177" s="90">
        <v>100</v>
      </c>
      <c r="K177" s="90">
        <v>100</v>
      </c>
      <c r="L177" s="90">
        <v>100</v>
      </c>
      <c r="M177" s="90">
        <v>100</v>
      </c>
      <c r="N177" s="90">
        <v>100</v>
      </c>
      <c r="O177" s="90">
        <v>100</v>
      </c>
      <c r="P177" s="90">
        <v>100</v>
      </c>
      <c r="Q177" s="90">
        <v>100</v>
      </c>
      <c r="R177" s="90">
        <v>100</v>
      </c>
    </row>
    <row r="178" spans="2:19" outlineLevel="1"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</row>
    <row r="179" spans="2:19"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</row>
    <row r="180" spans="2:19" s="1" customFormat="1" ht="15.75" thickBot="1">
      <c r="B180" s="57" t="s">
        <v>20</v>
      </c>
      <c r="C180" s="14" t="str">
        <f>IF(SUMSQ(F180:R180)=0,"Hide","Show")</f>
        <v>Show</v>
      </c>
      <c r="D180" s="100">
        <v>-2708046.7</v>
      </c>
      <c r="E180" s="101"/>
      <c r="F180" s="100">
        <v>-1760084.01</v>
      </c>
      <c r="G180" s="100">
        <v>-1817893.38</v>
      </c>
      <c r="H180" s="100">
        <v>-2069827.03</v>
      </c>
      <c r="I180" s="100">
        <v>-2038284.95</v>
      </c>
      <c r="J180" s="100">
        <v>-1934628.1</v>
      </c>
      <c r="K180" s="100">
        <v>-2035568.8</v>
      </c>
      <c r="L180" s="100">
        <v>-2049299.22</v>
      </c>
      <c r="M180" s="100">
        <v>-2340260.98</v>
      </c>
      <c r="N180" s="100">
        <v>-2367935.7599999998</v>
      </c>
      <c r="O180" s="100">
        <v>-2424321.77</v>
      </c>
      <c r="P180" s="100">
        <v>-2774766.6</v>
      </c>
      <c r="Q180" s="100">
        <v>-2745159.05</v>
      </c>
      <c r="R180" s="100">
        <v>-2708046.7</v>
      </c>
    </row>
    <row r="181" spans="2:19" ht="15.75" thickTop="1"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</row>
    <row r="182" spans="2:19" s="58" customFormat="1">
      <c r="B182" s="58" t="s">
        <v>21</v>
      </c>
      <c r="C182" s="14"/>
      <c r="D182" s="102">
        <v>0</v>
      </c>
      <c r="E182" s="102"/>
      <c r="F182" s="102">
        <f>F162-F180</f>
        <v>0</v>
      </c>
      <c r="G182" s="102">
        <f t="shared" ref="G182:R182" si="31">G162-G180</f>
        <v>0</v>
      </c>
      <c r="H182" s="102">
        <f t="shared" si="31"/>
        <v>0</v>
      </c>
      <c r="I182" s="102">
        <f t="shared" si="31"/>
        <v>0</v>
      </c>
      <c r="J182" s="102">
        <f t="shared" si="31"/>
        <v>0</v>
      </c>
      <c r="K182" s="102">
        <f t="shared" si="31"/>
        <v>0</v>
      </c>
      <c r="L182" s="102">
        <f t="shared" si="31"/>
        <v>0</v>
      </c>
      <c r="M182" s="102">
        <f t="shared" si="31"/>
        <v>0</v>
      </c>
      <c r="N182" s="102">
        <f t="shared" si="31"/>
        <v>0</v>
      </c>
      <c r="O182" s="102">
        <f t="shared" si="31"/>
        <v>0</v>
      </c>
      <c r="P182" s="102">
        <f t="shared" si="31"/>
        <v>0</v>
      </c>
      <c r="Q182" s="102">
        <f t="shared" si="31"/>
        <v>0</v>
      </c>
      <c r="R182" s="102">
        <f t="shared" si="31"/>
        <v>0</v>
      </c>
    </row>
    <row r="183" spans="2:19"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</row>
    <row r="184" spans="2:19">
      <c r="D184" s="78"/>
      <c r="E184" s="78"/>
      <c r="F184" s="78"/>
      <c r="G184" s="78"/>
      <c r="H184" s="78">
        <f>H168-G168</f>
        <v>-251933.65000000002</v>
      </c>
      <c r="I184" s="78">
        <f t="shared" ref="I184:R184" si="32">I168-H168</f>
        <v>31542.080000000016</v>
      </c>
      <c r="J184" s="78">
        <f t="shared" si="32"/>
        <v>103656.85</v>
      </c>
      <c r="K184" s="78">
        <f t="shared" si="32"/>
        <v>-100940.69999999998</v>
      </c>
      <c r="L184" s="78">
        <f t="shared" si="32"/>
        <v>-13730.420000000042</v>
      </c>
      <c r="M184" s="78">
        <f t="shared" si="32"/>
        <v>-290961.75999999995</v>
      </c>
      <c r="N184" s="78">
        <f t="shared" si="32"/>
        <v>-27674.780000000028</v>
      </c>
      <c r="O184" s="78">
        <f t="shared" si="32"/>
        <v>-56386.010000000009</v>
      </c>
      <c r="P184" s="78">
        <f t="shared" si="32"/>
        <v>-350444.82999999996</v>
      </c>
      <c r="Q184" s="78">
        <f t="shared" si="32"/>
        <v>29607.54999999993</v>
      </c>
      <c r="R184" s="78">
        <f t="shared" si="32"/>
        <v>37112.350000000093</v>
      </c>
    </row>
    <row r="185" spans="2:19"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82"/>
    </row>
    <row r="186" spans="2:19"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9"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82"/>
    </row>
    <row r="188" spans="2:19">
      <c r="D188" s="10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</row>
    <row r="189" spans="2:19"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</row>
    <row r="190" spans="2:19"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9"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</row>
    <row r="192" spans="2:19"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</row>
    <row r="193" spans="4:18"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</row>
    <row r="194" spans="4:18"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4:18"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</row>
    <row r="196" spans="4:18"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</row>
    <row r="197" spans="4:18"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</row>
    <row r="198" spans="4:18"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 spans="4:18"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 spans="4:18"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 spans="4:18"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 spans="4:18"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 spans="4:18"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 spans="4:18"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 spans="4:18"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 spans="4:18"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 spans="4:18"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 spans="4:18"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 spans="4:18"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 spans="4:18"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 spans="4:18"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 spans="4:18"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 spans="4:18"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 spans="4:18"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 spans="4:18"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 spans="4:18"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 spans="4:18"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 spans="4:18"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</sheetData>
  <autoFilter ref="B12:R182" xr:uid="{D3969150-5B32-44B0-B72F-A981CEB80778}">
    <filterColumn colId="1">
      <filters blank="1">
        <filter val="Show"/>
      </filters>
    </filterColumn>
  </autoFilter>
  <dataValidations count="2">
    <dataValidation type="list" errorStyle="information" operator="equal" allowBlank="1" showInputMessage="1" sqref="C1:C10 E1:E10 B6:B10" xr:uid="{CD8783A4-80D0-4E20-B799-272FD4A5F22D}">
      <formula1>"C62927B5-C25E-475A-98EB-2AC6107D48B4"</formula1>
    </dataValidation>
    <dataValidation type="list" errorStyle="information" operator="equal" allowBlank="1" showInputMessage="1" sqref="C182 D50 D71 B67 D33 D41 D67 C16:C177 B151 D89:D91 D45:D47 B136 D141 F174:R174 D174 D37 D22 D110 B144 B110 D154 B121 D118 D125 F99:R99 B71 C180 D170 D144 B76 B131:B133 B41 B53 D121 D99 B154 D81 B33 D76 B159 D151 D157 B118 F141:R141 F136:R136 F121:R121 F125:R125 D29 D131:D133 F131:R133 F118:R118 F102:R102 B125 D102 F154:R154 F67:R67 D13 F33:R33 F110:R110 D128:D129 F76:R76 D136 D84:D85 F81:R81 B99 D87 F71:R71 B170 B29 D53 F50:R50 F41:R41 F37:R37 D161:D166 F144:R144 B87 F151:R151 F170:R170 F29:R29 B37 F18:R18 F22:R22 B174 F53:R53 D43 D18 F157:R157 B50 F128:R129 F89:R91 F84:R85 B128:B129 D159 B84:B85 F43:R43 B18 B157 B89:B91 B141 B102 B22 B45:B47 B43 F13:R13 B81 F45:R47 F87:R87 F161:R166 B161:B166 F159:R159 B14:R14 E180 E16:E177" xr:uid="{24A89EAB-BB84-4C93-95E8-3AC8904033B9}">
      <formula1>"6739674C-F41D-4F0B-8A6E-DBB970089451"</formula1>
    </dataValidation>
  </dataValidations>
  <pageMargins left="0.7" right="0.7" top="0.75" bottom="0.75" header="0.3" footer="0.3"/>
  <customProperties>
    <customPr name="isReportSheetChang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5DFC-D85C-4E03-B941-B3D05514210B}">
  <sheetPr filterMode="1">
    <tabColor theme="3" tint="0.249977111117893"/>
  </sheetPr>
  <dimension ref="A1:E216"/>
  <sheetViews>
    <sheetView zoomScale="70" zoomScaleNormal="70" workbookViewId="0">
      <selection activeCell="I12" sqref="I12"/>
    </sheetView>
  </sheetViews>
  <sheetFormatPr defaultRowHeight="15" outlineLevelRow="2" outlineLevelCol="1"/>
  <cols>
    <col min="1" max="1" width="3.28515625" style="48" customWidth="1"/>
    <col min="2" max="2" width="69.5703125" customWidth="1"/>
    <col min="3" max="3" width="4.42578125" style="48" customWidth="1"/>
    <col min="4" max="4" width="14.85546875" customWidth="1"/>
    <col min="5" max="5" width="9.140625" outlineLevel="1"/>
  </cols>
  <sheetData>
    <row r="1" spans="2:4" outlineLevel="1">
      <c r="B1" s="53" t="s">
        <v>2</v>
      </c>
      <c r="C1" s="4"/>
      <c r="D1" s="49"/>
    </row>
    <row r="2" spans="2:4" outlineLevel="1">
      <c r="B2" s="53" t="s">
        <v>55</v>
      </c>
      <c r="C2" s="4"/>
      <c r="D2" s="49"/>
    </row>
    <row r="3" spans="2:4" outlineLevel="1">
      <c r="B3" s="53" t="s">
        <v>54</v>
      </c>
      <c r="C3" s="4"/>
      <c r="D3" s="49"/>
    </row>
    <row r="4" spans="2:4" outlineLevel="1">
      <c r="B4" s="53" t="s">
        <v>136</v>
      </c>
      <c r="C4" s="4"/>
      <c r="D4" s="49"/>
    </row>
    <row r="5" spans="2:4" outlineLevel="1">
      <c r="B5" s="53" t="s">
        <v>53</v>
      </c>
      <c r="C5" s="4"/>
      <c r="D5" s="49"/>
    </row>
    <row r="6" spans="2:4">
      <c r="B6" s="3"/>
      <c r="C6" s="4"/>
      <c r="D6" s="49"/>
    </row>
    <row r="7" spans="2:4" ht="21">
      <c r="B7" s="7" t="e">
        <f>_xlfn.XLOOKUP($B$1,#REF!,#REF!,"",0)&amp;" Statement of Financial Position as at"</f>
        <v>#REF!</v>
      </c>
      <c r="C7" s="74"/>
      <c r="D7" s="49"/>
    </row>
    <row r="8" spans="2:4" ht="18.75">
      <c r="B8" s="8" t="e">
        <f>#REF!</f>
        <v>#REF!</v>
      </c>
      <c r="C8" s="75"/>
      <c r="D8" s="49"/>
    </row>
    <row r="9" spans="2:4">
      <c r="B9" s="3" t="s">
        <v>3</v>
      </c>
      <c r="C9" s="4"/>
      <c r="D9" s="9" t="s">
        <v>299</v>
      </c>
    </row>
    <row r="10" spans="2:4">
      <c r="B10" s="3"/>
      <c r="C10" s="4"/>
      <c r="D10" s="9" t="s">
        <v>294</v>
      </c>
    </row>
    <row r="11" spans="2:4">
      <c r="B11" s="49"/>
      <c r="C11" s="69"/>
      <c r="D11" s="61" t="s">
        <v>0</v>
      </c>
    </row>
    <row r="12" spans="2:4">
      <c r="B12" s="65" t="s">
        <v>4</v>
      </c>
      <c r="C12" s="10" t="s">
        <v>5</v>
      </c>
      <c r="D12" s="61" t="s">
        <v>57</v>
      </c>
    </row>
    <row r="13" spans="2:4">
      <c r="B13" s="49"/>
      <c r="C13" s="69"/>
      <c r="D13" s="59"/>
    </row>
    <row r="14" spans="2:4">
      <c r="B14" s="66" t="s">
        <v>151</v>
      </c>
      <c r="C14" s="14" t="e">
        <f>IF(SUMSQ(#REF!)=0,"Hide","Show")</f>
        <v>#REF!</v>
      </c>
      <c r="D14" s="103">
        <v>37564.400000000001</v>
      </c>
    </row>
    <row r="15" spans="2:4">
      <c r="B15" s="34"/>
      <c r="C15" s="14"/>
      <c r="D15" s="103"/>
    </row>
    <row r="16" spans="2:4">
      <c r="B16" s="67" t="s">
        <v>22</v>
      </c>
      <c r="C16" s="14"/>
      <c r="D16" s="103"/>
    </row>
    <row r="17" spans="1:4">
      <c r="B17" s="34"/>
      <c r="C17" s="14"/>
      <c r="D17" s="103"/>
    </row>
    <row r="18" spans="1:4">
      <c r="A18" s="48" t="s">
        <v>23</v>
      </c>
      <c r="B18" s="35" t="s">
        <v>111</v>
      </c>
      <c r="C18" s="14" t="e">
        <f>IF(SUMSQ(#REF!)=0,"Hide","Show")</f>
        <v>#REF!</v>
      </c>
      <c r="D18" s="103">
        <v>130.22999999999999</v>
      </c>
    </row>
    <row r="19" spans="1:4">
      <c r="A19" s="48" t="s">
        <v>23</v>
      </c>
      <c r="B19" s="35" t="s">
        <v>52</v>
      </c>
      <c r="C19" s="14" t="e">
        <f>IF(SUMSQ(#REF!)=0,"Hide","Show")</f>
        <v>#REF!</v>
      </c>
      <c r="D19" s="103">
        <v>0</v>
      </c>
    </row>
    <row r="20" spans="1:4">
      <c r="B20" s="34"/>
      <c r="C20" s="14"/>
      <c r="D20" s="103"/>
    </row>
    <row r="21" spans="1:4" s="1" customFormat="1">
      <c r="A21" s="73"/>
      <c r="B21" s="67" t="s">
        <v>24</v>
      </c>
      <c r="C21" s="63"/>
      <c r="D21" s="104">
        <v>37694.630000000005</v>
      </c>
    </row>
    <row r="22" spans="1:4">
      <c r="B22" s="34"/>
      <c r="C22" s="14"/>
      <c r="D22" s="103"/>
    </row>
    <row r="23" spans="1:4">
      <c r="A23" s="48" t="s">
        <v>23</v>
      </c>
      <c r="B23" s="35" t="s">
        <v>133</v>
      </c>
      <c r="C23" s="14" t="e">
        <f>IF(SUMSQ(#REF!)=0,"Hide","Show")</f>
        <v>#REF!</v>
      </c>
      <c r="D23" s="103">
        <v>0</v>
      </c>
    </row>
    <row r="24" spans="1:4">
      <c r="A24" s="48" t="s">
        <v>23</v>
      </c>
      <c r="B24" s="35" t="s">
        <v>92</v>
      </c>
      <c r="C24" s="14" t="e">
        <f>IF(SUMSQ(#REF!)=0,"Hide","Show")</f>
        <v>#REF!</v>
      </c>
      <c r="D24" s="103">
        <v>0</v>
      </c>
    </row>
    <row r="25" spans="1:4">
      <c r="B25" s="34"/>
      <c r="C25" s="14"/>
      <c r="D25" s="103"/>
    </row>
    <row r="26" spans="1:4" s="1" customFormat="1">
      <c r="A26" s="73"/>
      <c r="B26" s="67" t="s">
        <v>25</v>
      </c>
      <c r="C26" s="63"/>
      <c r="D26" s="104">
        <v>37694.630000000005</v>
      </c>
    </row>
    <row r="27" spans="1:4">
      <c r="B27" s="34"/>
      <c r="C27" s="14"/>
      <c r="D27" s="103"/>
    </row>
    <row r="28" spans="1:4">
      <c r="B28" s="34"/>
      <c r="C28" s="14"/>
      <c r="D28" s="103"/>
    </row>
    <row r="29" spans="1:4">
      <c r="B29" s="70" t="s">
        <v>26</v>
      </c>
      <c r="C29" s="72"/>
      <c r="D29" s="105">
        <v>-212983.71000000002</v>
      </c>
    </row>
    <row r="30" spans="1:4">
      <c r="B30" s="35" t="s">
        <v>272</v>
      </c>
      <c r="C30" s="14" t="e">
        <f>IF(SUMSQ(#REF!)=0,"Hide","Show")</f>
        <v>#REF!</v>
      </c>
      <c r="D30" s="103">
        <v>0</v>
      </c>
    </row>
    <row r="31" spans="1:4" outlineLevel="1">
      <c r="B31" s="33" t="s">
        <v>266</v>
      </c>
      <c r="C31" s="14" t="e">
        <f>IF(SUMSQ(#REF!)=0,"Hide","Show")</f>
        <v>#REF!</v>
      </c>
      <c r="D31" s="103">
        <v>0</v>
      </c>
    </row>
    <row r="32" spans="1:4" outlineLevel="1">
      <c r="B32" s="33" t="s">
        <v>228</v>
      </c>
      <c r="C32" s="14" t="e">
        <f>IF(SUMSQ(#REF!)=0,"Hide","Show")</f>
        <v>#REF!</v>
      </c>
      <c r="D32" s="103">
        <v>0</v>
      </c>
    </row>
    <row r="33" spans="2:4" outlineLevel="1">
      <c r="B33" s="33"/>
      <c r="C33" s="43"/>
      <c r="D33" s="103"/>
    </row>
    <row r="34" spans="2:4">
      <c r="B34" s="35" t="s">
        <v>189</v>
      </c>
      <c r="C34" s="14" t="e">
        <f>IF(SUMSQ(#REF!)=0,"Hide","Show")</f>
        <v>#REF!</v>
      </c>
      <c r="D34" s="103">
        <v>-115506.22</v>
      </c>
    </row>
    <row r="35" spans="2:4" outlineLevel="1">
      <c r="B35" s="33" t="s">
        <v>213</v>
      </c>
      <c r="C35" s="14" t="e">
        <f>IF(SUMSQ(#REF!)=0,"Hide","Show")</f>
        <v>#REF!</v>
      </c>
      <c r="D35" s="103">
        <v>0</v>
      </c>
    </row>
    <row r="36" spans="2:4" outlineLevel="1">
      <c r="B36" s="33" t="s">
        <v>193</v>
      </c>
      <c r="C36" s="14" t="e">
        <f>IF(SUMSQ(#REF!)=0,"Hide","Show")</f>
        <v>#REF!</v>
      </c>
      <c r="D36" s="103">
        <v>0</v>
      </c>
    </row>
    <row r="37" spans="2:4" outlineLevel="1">
      <c r="B37" s="33" t="s">
        <v>280</v>
      </c>
      <c r="C37" s="14" t="e">
        <f>IF(SUMSQ(#REF!)=0,"Hide","Show")</f>
        <v>#REF!</v>
      </c>
      <c r="D37" s="103">
        <v>-115506.22</v>
      </c>
    </row>
    <row r="38" spans="2:4" outlineLevel="1">
      <c r="B38" s="33" t="s">
        <v>205</v>
      </c>
      <c r="C38" s="14" t="e">
        <f>IF(SUMSQ(#REF!)=0,"Hide","Show")</f>
        <v>#REF!</v>
      </c>
      <c r="D38" s="103">
        <v>0</v>
      </c>
    </row>
    <row r="39" spans="2:4" outlineLevel="1">
      <c r="B39" s="33" t="s">
        <v>259</v>
      </c>
      <c r="C39" s="14" t="e">
        <f>IF(SUMSQ(#REF!)=0,"Hide","Show")</f>
        <v>#REF!</v>
      </c>
      <c r="D39" s="103">
        <v>0</v>
      </c>
    </row>
    <row r="40" spans="2:4" outlineLevel="1">
      <c r="B40" s="33"/>
      <c r="C40" s="43"/>
      <c r="D40" s="103"/>
    </row>
    <row r="41" spans="2:4">
      <c r="B41" s="35" t="s">
        <v>225</v>
      </c>
      <c r="C41" s="14" t="e">
        <f>IF(SUMSQ(#REF!)=0,"Hide","Show")</f>
        <v>#REF!</v>
      </c>
      <c r="D41" s="103">
        <v>-97477.49</v>
      </c>
    </row>
    <row r="42" spans="2:4" outlineLevel="1">
      <c r="B42" s="33" t="s">
        <v>235</v>
      </c>
      <c r="C42" s="14" t="e">
        <f>IF(SUMSQ(#REF!)=0,"Hide","Show")</f>
        <v>#REF!</v>
      </c>
      <c r="D42" s="103">
        <v>0</v>
      </c>
    </row>
    <row r="43" spans="2:4" outlineLevel="1">
      <c r="B43" s="33" t="s">
        <v>238</v>
      </c>
      <c r="C43" s="14" t="e">
        <f>IF(SUMSQ(#REF!)=0,"Hide","Show")</f>
        <v>#REF!</v>
      </c>
      <c r="D43" s="103">
        <v>0</v>
      </c>
    </row>
    <row r="44" spans="2:4" outlineLevel="1">
      <c r="B44" s="33" t="s">
        <v>231</v>
      </c>
      <c r="C44" s="14" t="e">
        <f>IF(SUMSQ(#REF!)=0,"Hide","Show")</f>
        <v>#REF!</v>
      </c>
      <c r="D44" s="103">
        <v>3.6379788070917101E-12</v>
      </c>
    </row>
    <row r="45" spans="2:4" outlineLevel="1">
      <c r="B45" s="33" t="s">
        <v>207</v>
      </c>
      <c r="C45" s="14" t="e">
        <f>IF(SUMSQ(#REF!)=0,"Hide","Show")</f>
        <v>#REF!</v>
      </c>
      <c r="D45" s="103">
        <v>0</v>
      </c>
    </row>
    <row r="46" spans="2:4" outlineLevel="1">
      <c r="B46" s="33" t="s">
        <v>208</v>
      </c>
      <c r="C46" s="14" t="e">
        <f>IF(SUMSQ(#REF!)=0,"Hide","Show")</f>
        <v>#REF!</v>
      </c>
      <c r="D46" s="103">
        <v>-271758.24</v>
      </c>
    </row>
    <row r="47" spans="2:4" outlineLevel="1">
      <c r="B47" s="33" t="s">
        <v>229</v>
      </c>
      <c r="C47" s="14" t="e">
        <f>IF(SUMSQ(#REF!)=0,"Hide","Show")</f>
        <v>#REF!</v>
      </c>
      <c r="D47" s="103">
        <v>174280.75</v>
      </c>
    </row>
    <row r="48" spans="2:4" outlineLevel="1">
      <c r="B48" s="33"/>
      <c r="C48" s="43"/>
      <c r="D48" s="103"/>
    </row>
    <row r="49" spans="2:4">
      <c r="B49" s="35" t="s">
        <v>182</v>
      </c>
      <c r="C49" s="14" t="e">
        <f>IF(SUMSQ(#REF!)=0,"Hide","Show")</f>
        <v>#REF!</v>
      </c>
      <c r="D49" s="103">
        <v>0</v>
      </c>
    </row>
    <row r="50" spans="2:4" outlineLevel="1">
      <c r="B50" s="33" t="s">
        <v>281</v>
      </c>
      <c r="C50" s="14" t="e">
        <f>IF(SUMSQ(#REF!)=0,"Hide","Show")</f>
        <v>#REF!</v>
      </c>
      <c r="D50" s="103">
        <v>0</v>
      </c>
    </row>
    <row r="51" spans="2:4" outlineLevel="1">
      <c r="B51" s="33" t="s">
        <v>277</v>
      </c>
      <c r="C51" s="14" t="e">
        <f>IF(SUMSQ(#REF!)=0,"Hide","Show")</f>
        <v>#REF!</v>
      </c>
      <c r="D51" s="103">
        <v>0</v>
      </c>
    </row>
    <row r="52" spans="2:4" outlineLevel="1">
      <c r="B52" s="33"/>
      <c r="C52" s="43"/>
      <c r="D52" s="103"/>
    </row>
    <row r="53" spans="2:4">
      <c r="B53" s="35" t="s">
        <v>226</v>
      </c>
      <c r="C53" s="14" t="e">
        <f>IF(SUMSQ(#REF!)=0,"Hide","Show")</f>
        <v>#REF!</v>
      </c>
      <c r="D53" s="103">
        <v>0</v>
      </c>
    </row>
    <row r="54" spans="2:4" outlineLevel="1">
      <c r="B54" s="33" t="s">
        <v>215</v>
      </c>
      <c r="C54" s="14" t="e">
        <f>IF(SUMSQ(#REF!)=0,"Hide","Show")</f>
        <v>#REF!</v>
      </c>
      <c r="D54" s="103">
        <v>0</v>
      </c>
    </row>
    <row r="55" spans="2:4" outlineLevel="1">
      <c r="B55" s="33"/>
      <c r="C55" s="43"/>
      <c r="D55" s="103"/>
    </row>
    <row r="56" spans="2:4">
      <c r="B56" s="35" t="s">
        <v>190</v>
      </c>
      <c r="C56" s="14" t="e">
        <f>IF(SUMSQ(#REF!)=0,"Hide","Show")</f>
        <v>#REF!</v>
      </c>
      <c r="D56" s="103">
        <v>0</v>
      </c>
    </row>
    <row r="57" spans="2:4" outlineLevel="1">
      <c r="B57" s="33"/>
      <c r="C57" s="14"/>
      <c r="D57" s="109"/>
    </row>
    <row r="58" spans="2:4" outlineLevel="1">
      <c r="B58" s="33"/>
      <c r="C58" s="14"/>
      <c r="D58" s="109"/>
    </row>
    <row r="59" spans="2:4" outlineLevel="1">
      <c r="B59" s="33"/>
      <c r="C59" s="43"/>
      <c r="D59" s="103"/>
    </row>
    <row r="60" spans="2:4">
      <c r="B60" s="35" t="s">
        <v>201</v>
      </c>
      <c r="C60" s="14" t="e">
        <f>IF(SUMSQ(#REF!)=0,"Hide","Show")</f>
        <v>#REF!</v>
      </c>
      <c r="D60" s="103">
        <v>0</v>
      </c>
    </row>
    <row r="61" spans="2:4">
      <c r="B61" s="34"/>
      <c r="C61" s="72"/>
      <c r="D61" s="103"/>
    </row>
    <row r="62" spans="2:4">
      <c r="B62" s="70" t="s">
        <v>27</v>
      </c>
      <c r="C62" s="72"/>
      <c r="D62" s="105">
        <v>-175289.08000000002</v>
      </c>
    </row>
    <row r="63" spans="2:4">
      <c r="B63" s="34"/>
      <c r="C63" s="72"/>
      <c r="D63" s="103"/>
    </row>
    <row r="64" spans="2:4">
      <c r="B64" s="70" t="s">
        <v>28</v>
      </c>
      <c r="C64" s="72"/>
      <c r="D64" s="105">
        <v>0</v>
      </c>
    </row>
    <row r="65" spans="2:4">
      <c r="B65" s="68" t="s">
        <v>29</v>
      </c>
      <c r="C65" s="14" t="e">
        <f>IF(SUMSQ(#REF!)=0,"Hide","Show")</f>
        <v>#REF!</v>
      </c>
      <c r="D65" s="103">
        <v>0</v>
      </c>
    </row>
    <row r="66" spans="2:4" outlineLevel="1">
      <c r="B66" s="34" t="s">
        <v>255</v>
      </c>
      <c r="C66" s="14" t="e">
        <f>IF(SUMSQ(#REF!)=0,"Hide","Show")</f>
        <v>#REF!</v>
      </c>
      <c r="D66" s="103">
        <v>582.28</v>
      </c>
    </row>
    <row r="67" spans="2:4" outlineLevel="2">
      <c r="B67" s="33" t="s">
        <v>264</v>
      </c>
      <c r="C67" s="14" t="e">
        <f>IF(SUMSQ(#REF!)=0,"Hide","Show")</f>
        <v>#REF!</v>
      </c>
      <c r="D67" s="103">
        <v>0</v>
      </c>
    </row>
    <row r="68" spans="2:4" outlineLevel="2">
      <c r="B68" s="33" t="s">
        <v>262</v>
      </c>
      <c r="C68" s="14" t="e">
        <f>IF(SUMSQ(#REF!)=0,"Hide","Show")</f>
        <v>#REF!</v>
      </c>
      <c r="D68" s="103">
        <v>0</v>
      </c>
    </row>
    <row r="69" spans="2:4" outlineLevel="2">
      <c r="B69" s="33" t="s">
        <v>181</v>
      </c>
      <c r="C69" s="14" t="e">
        <f>IF(SUMSQ(#REF!)=0,"Hide","Show")</f>
        <v>#REF!</v>
      </c>
      <c r="D69" s="103">
        <v>0</v>
      </c>
    </row>
    <row r="70" spans="2:4" outlineLevel="2">
      <c r="B70" s="33" t="s">
        <v>279</v>
      </c>
      <c r="C70" s="14" t="e">
        <f>IF(SUMSQ(#REF!)=0,"Hide","Show")</f>
        <v>#REF!</v>
      </c>
      <c r="D70" s="103">
        <v>546.29999999999995</v>
      </c>
    </row>
    <row r="71" spans="2:4" outlineLevel="2">
      <c r="B71" s="33" t="s">
        <v>236</v>
      </c>
      <c r="C71" s="14" t="e">
        <f>IF(SUMSQ(#REF!)=0,"Hide","Show")</f>
        <v>#REF!</v>
      </c>
      <c r="D71" s="103">
        <v>0</v>
      </c>
    </row>
    <row r="72" spans="2:4" outlineLevel="2">
      <c r="B72" s="33" t="s">
        <v>243</v>
      </c>
      <c r="C72" s="14" t="e">
        <f>IF(SUMSQ(#REF!)=0,"Hide","Show")</f>
        <v>#REF!</v>
      </c>
      <c r="D72" s="103">
        <v>0</v>
      </c>
    </row>
    <row r="73" spans="2:4" outlineLevel="2">
      <c r="B73" s="33" t="s">
        <v>282</v>
      </c>
      <c r="C73" s="14" t="e">
        <f>IF(SUMSQ(#REF!)=0,"Hide","Show")</f>
        <v>#REF!</v>
      </c>
      <c r="D73" s="103">
        <v>0</v>
      </c>
    </row>
    <row r="74" spans="2:4" outlineLevel="2">
      <c r="B74" s="33" t="s">
        <v>200</v>
      </c>
      <c r="C74" s="14" t="e">
        <f>IF(SUMSQ(#REF!)=0,"Hide","Show")</f>
        <v>#REF!</v>
      </c>
      <c r="D74" s="103">
        <v>0</v>
      </c>
    </row>
    <row r="75" spans="2:4" outlineLevel="2">
      <c r="B75" s="33" t="s">
        <v>214</v>
      </c>
      <c r="C75" s="14" t="e">
        <f>IF(SUMSQ(#REF!)=0,"Hide","Show")</f>
        <v>#REF!</v>
      </c>
      <c r="D75" s="103">
        <v>35.979999999999997</v>
      </c>
    </row>
    <row r="76" spans="2:4" outlineLevel="2">
      <c r="B76" s="33" t="s">
        <v>270</v>
      </c>
      <c r="C76" s="14" t="e">
        <f>IF(SUMSQ(#REF!)=0,"Hide","Show")</f>
        <v>#REF!</v>
      </c>
      <c r="D76" s="103">
        <v>0</v>
      </c>
    </row>
    <row r="77" spans="2:4" outlineLevel="2">
      <c r="B77" s="33" t="s">
        <v>221</v>
      </c>
      <c r="C77" s="14" t="e">
        <f>IF(SUMSQ(#REF!)=0,"Hide","Show")</f>
        <v>#REF!</v>
      </c>
      <c r="D77" s="103">
        <v>0</v>
      </c>
    </row>
    <row r="78" spans="2:4" outlineLevel="2">
      <c r="B78" s="33" t="s">
        <v>247</v>
      </c>
      <c r="C78" s="14" t="e">
        <f>IF(SUMSQ(#REF!)=0,"Hide","Show")</f>
        <v>#REF!</v>
      </c>
      <c r="D78" s="103">
        <v>0</v>
      </c>
    </row>
    <row r="79" spans="2:4" outlineLevel="2">
      <c r="B79" s="33"/>
      <c r="C79" s="43"/>
      <c r="D79" s="103"/>
    </row>
    <row r="80" spans="2:4" outlineLevel="1">
      <c r="B80" s="35" t="s">
        <v>261</v>
      </c>
      <c r="C80" s="14" t="e">
        <f>IF(SUMSQ(#REF!)=0,"Hide","Show")</f>
        <v>#REF!</v>
      </c>
      <c r="D80" s="103">
        <v>0</v>
      </c>
    </row>
    <row r="81" spans="1:4" outlineLevel="2">
      <c r="B81" s="33" t="s">
        <v>250</v>
      </c>
      <c r="C81" s="14" t="e">
        <f>IF(SUMSQ(#REF!)=0,"Hide","Show")</f>
        <v>#REF!</v>
      </c>
      <c r="D81" s="103">
        <v>0</v>
      </c>
    </row>
    <row r="82" spans="1:4" outlineLevel="2">
      <c r="B82" s="33" t="s">
        <v>276</v>
      </c>
      <c r="C82" s="14" t="e">
        <f>IF(SUMSQ(#REF!)=0,"Hide","Show")</f>
        <v>#REF!</v>
      </c>
      <c r="D82" s="103">
        <v>0</v>
      </c>
    </row>
    <row r="83" spans="1:4" outlineLevel="1">
      <c r="B83" s="33"/>
      <c r="C83" s="43"/>
      <c r="D83" s="103"/>
    </row>
    <row r="84" spans="1:4" outlineLevel="1">
      <c r="A84" s="48" t="s">
        <v>23</v>
      </c>
      <c r="B84" s="35" t="s">
        <v>110</v>
      </c>
      <c r="C84" s="14" t="e">
        <f>IF(SUMSQ(#REF!)=0,"Hide","Show")</f>
        <v>#REF!</v>
      </c>
      <c r="D84" s="103">
        <v>-582.28</v>
      </c>
    </row>
    <row r="85" spans="1:4" outlineLevel="1">
      <c r="B85" s="33"/>
      <c r="C85" s="43"/>
      <c r="D85" s="103"/>
    </row>
    <row r="86" spans="1:4">
      <c r="B86" s="35" t="s">
        <v>253</v>
      </c>
      <c r="C86" s="14" t="e">
        <f>IF(SUMSQ(#REF!)=0,"Hide","Show")</f>
        <v>#REF!</v>
      </c>
      <c r="D86" s="103">
        <v>0</v>
      </c>
    </row>
    <row r="87" spans="1:4" outlineLevel="1">
      <c r="B87" s="33" t="s">
        <v>257</v>
      </c>
      <c r="C87" s="14" t="e">
        <f>IF(SUMSQ(#REF!)=0,"Hide","Show")</f>
        <v>#REF!</v>
      </c>
      <c r="D87" s="103">
        <v>0</v>
      </c>
    </row>
    <row r="88" spans="1:4" outlineLevel="1">
      <c r="B88" s="33"/>
      <c r="C88" s="43"/>
      <c r="D88" s="103"/>
    </row>
    <row r="89" spans="1:4">
      <c r="B89" s="34" t="s">
        <v>249</v>
      </c>
      <c r="C89" s="14" t="e">
        <f>IF(SUMSQ(#REF!)=0,"Hide","Show")</f>
        <v>#REF!</v>
      </c>
      <c r="D89" s="103">
        <v>0</v>
      </c>
    </row>
    <row r="90" spans="1:4" outlineLevel="1">
      <c r="B90" s="33" t="s">
        <v>274</v>
      </c>
      <c r="C90" s="14" t="e">
        <f>IF(SUMSQ(#REF!)=0,"Hide","Show")</f>
        <v>#REF!</v>
      </c>
      <c r="D90" s="103">
        <v>0</v>
      </c>
    </row>
    <row r="91" spans="1:4" outlineLevel="1">
      <c r="B91" s="33" t="s">
        <v>241</v>
      </c>
      <c r="C91" s="14" t="e">
        <f>IF(SUMSQ(#REF!)=0,"Hide","Show")</f>
        <v>#REF!</v>
      </c>
      <c r="D91" s="103">
        <v>0</v>
      </c>
    </row>
    <row r="92" spans="1:4" outlineLevel="1">
      <c r="B92" s="33" t="s">
        <v>188</v>
      </c>
      <c r="C92" s="14" t="e">
        <f>IF(SUMSQ(#REF!)=0,"Hide","Show")</f>
        <v>#REF!</v>
      </c>
      <c r="D92" s="103">
        <v>0</v>
      </c>
    </row>
    <row r="93" spans="1:4" outlineLevel="1">
      <c r="B93" s="33"/>
      <c r="C93" s="43"/>
      <c r="D93" s="103"/>
    </row>
    <row r="94" spans="1:4">
      <c r="B94" s="34" t="s">
        <v>195</v>
      </c>
      <c r="C94" s="14" t="e">
        <f>IF(SUMSQ(#REF!)=0,"Hide","Show")</f>
        <v>#REF!</v>
      </c>
      <c r="D94" s="103">
        <v>0</v>
      </c>
    </row>
    <row r="95" spans="1:4" outlineLevel="1">
      <c r="B95" s="33" t="s">
        <v>234</v>
      </c>
      <c r="C95" s="14" t="e">
        <f>IF(SUMSQ(#REF!)=0,"Hide","Show")</f>
        <v>#REF!</v>
      </c>
      <c r="D95" s="103">
        <v>0</v>
      </c>
    </row>
    <row r="96" spans="1:4" outlineLevel="1">
      <c r="B96" s="33" t="s">
        <v>232</v>
      </c>
      <c r="C96" s="14" t="e">
        <f>IF(SUMSQ(#REF!)=0,"Hide","Show")</f>
        <v>#REF!</v>
      </c>
      <c r="D96" s="103">
        <v>0</v>
      </c>
    </row>
    <row r="97" spans="2:4" outlineLevel="1">
      <c r="B97" s="33" t="s">
        <v>219</v>
      </c>
      <c r="C97" s="14" t="e">
        <f>IF(SUMSQ(#REF!)=0,"Hide","Show")</f>
        <v>#REF!</v>
      </c>
      <c r="D97" s="103">
        <v>0</v>
      </c>
    </row>
    <row r="98" spans="2:4" outlineLevel="1">
      <c r="B98" s="33"/>
      <c r="C98" s="43"/>
      <c r="D98" s="103"/>
    </row>
    <row r="99" spans="2:4">
      <c r="B99" s="34" t="s">
        <v>268</v>
      </c>
      <c r="C99" s="14" t="e">
        <f>IF(SUMSQ(#REF!)=0,"Hide","Show")</f>
        <v>#REF!</v>
      </c>
      <c r="D99" s="103">
        <v>0</v>
      </c>
    </row>
    <row r="100" spans="2:4" outlineLevel="1">
      <c r="B100" s="33" t="s">
        <v>220</v>
      </c>
      <c r="C100" s="14" t="e">
        <f>IF(SUMSQ(#REF!)=0,"Hide","Show")</f>
        <v>#REF!</v>
      </c>
      <c r="D100" s="103">
        <v>0</v>
      </c>
    </row>
    <row r="101" spans="2:4" outlineLevel="1">
      <c r="B101" s="33"/>
      <c r="C101" s="43"/>
      <c r="D101" s="103"/>
    </row>
    <row r="102" spans="2:4">
      <c r="B102" s="34" t="s">
        <v>256</v>
      </c>
      <c r="C102" s="14" t="e">
        <f>IF(SUMSQ(#REF!)=0,"Hide","Show")</f>
        <v>#REF!</v>
      </c>
      <c r="D102" s="103">
        <v>0</v>
      </c>
    </row>
    <row r="103" spans="2:4" outlineLevel="1">
      <c r="B103" s="33" t="s">
        <v>252</v>
      </c>
      <c r="C103" s="14" t="e">
        <f>IF(SUMSQ(#REF!)=0,"Hide","Show")</f>
        <v>#REF!</v>
      </c>
      <c r="D103" s="103">
        <v>0</v>
      </c>
    </row>
    <row r="104" spans="2:4" outlineLevel="1">
      <c r="B104" s="33"/>
      <c r="C104" s="43"/>
      <c r="D104" s="103"/>
    </row>
    <row r="105" spans="2:4">
      <c r="B105" s="33"/>
      <c r="C105" s="43"/>
      <c r="D105" s="103"/>
    </row>
    <row r="106" spans="2:4">
      <c r="B106" s="70" t="s">
        <v>30</v>
      </c>
      <c r="C106" s="72"/>
      <c r="D106" s="105">
        <v>175860.88999999998</v>
      </c>
    </row>
    <row r="107" spans="2:4">
      <c r="B107" s="68" t="s">
        <v>31</v>
      </c>
      <c r="C107" s="14" t="e">
        <f>IF(SUMSQ(#REF!)=0,"Hide","Show")</f>
        <v>#REF!</v>
      </c>
      <c r="D107" s="103">
        <v>0</v>
      </c>
    </row>
    <row r="108" spans="2:4" outlineLevel="1">
      <c r="B108" s="34" t="s">
        <v>224</v>
      </c>
      <c r="C108" s="14" t="e">
        <f>IF(SUMSQ(#REF!)=0,"Hide","Show")</f>
        <v>#REF!</v>
      </c>
      <c r="D108" s="103">
        <v>0</v>
      </c>
    </row>
    <row r="109" spans="2:4" outlineLevel="2">
      <c r="B109" s="33" t="s">
        <v>212</v>
      </c>
      <c r="C109" s="14" t="e">
        <f>IF(SUMSQ(#REF!)=0,"Hide","Show")</f>
        <v>#REF!</v>
      </c>
      <c r="D109" s="103">
        <v>0</v>
      </c>
    </row>
    <row r="110" spans="2:4" outlineLevel="2">
      <c r="B110" s="33" t="s">
        <v>191</v>
      </c>
      <c r="C110" s="14" t="e">
        <f>IF(SUMSQ(#REF!)=0,"Hide","Show")</f>
        <v>#REF!</v>
      </c>
      <c r="D110" s="103">
        <v>0</v>
      </c>
    </row>
    <row r="111" spans="2:4" outlineLevel="2">
      <c r="B111" s="33" t="s">
        <v>267</v>
      </c>
      <c r="C111" s="14" t="e">
        <f>IF(SUMSQ(#REF!)=0,"Hide","Show")</f>
        <v>#REF!</v>
      </c>
      <c r="D111" s="103">
        <v>0</v>
      </c>
    </row>
    <row r="112" spans="2:4" outlineLevel="2">
      <c r="B112" s="33" t="s">
        <v>206</v>
      </c>
      <c r="C112" s="14" t="e">
        <f>IF(SUMSQ(#REF!)=0,"Hide","Show")</f>
        <v>#REF!</v>
      </c>
      <c r="D112" s="103">
        <v>0</v>
      </c>
    </row>
    <row r="113" spans="2:4" outlineLevel="2">
      <c r="B113" s="33" t="s">
        <v>211</v>
      </c>
      <c r="C113" s="14" t="e">
        <f>IF(SUMSQ(#REF!)=0,"Hide","Show")</f>
        <v>#REF!</v>
      </c>
      <c r="D113" s="103">
        <v>0</v>
      </c>
    </row>
    <row r="114" spans="2:4" outlineLevel="2">
      <c r="B114" s="33" t="s">
        <v>271</v>
      </c>
      <c r="C114" s="14" t="e">
        <f>IF(SUMSQ(#REF!)=0,"Hide","Show")</f>
        <v>#REF!</v>
      </c>
      <c r="D114" s="103">
        <v>0</v>
      </c>
    </row>
    <row r="115" spans="2:4" outlineLevel="2">
      <c r="B115" s="33"/>
      <c r="C115" s="43"/>
      <c r="D115" s="103"/>
    </row>
    <row r="116" spans="2:4" outlineLevel="1">
      <c r="B116" s="34" t="s">
        <v>245</v>
      </c>
      <c r="C116" s="14" t="e">
        <f>IF(SUMSQ(#REF!)=0,"Hide","Show")</f>
        <v>#REF!</v>
      </c>
      <c r="D116" s="103">
        <v>0</v>
      </c>
    </row>
    <row r="117" spans="2:4" outlineLevel="2">
      <c r="B117" s="33" t="s">
        <v>227</v>
      </c>
      <c r="C117" s="14" t="e">
        <f>IF(SUMSQ(#REF!)=0,"Hide","Show")</f>
        <v>#REF!</v>
      </c>
      <c r="D117" s="103">
        <v>0</v>
      </c>
    </row>
    <row r="118" spans="2:4" outlineLevel="2">
      <c r="B118" s="33" t="s">
        <v>177</v>
      </c>
      <c r="C118" s="14" t="e">
        <f>IF(SUMSQ(#REF!)=0,"Hide","Show")</f>
        <v>#REF!</v>
      </c>
      <c r="D118" s="103">
        <v>0</v>
      </c>
    </row>
    <row r="119" spans="2:4" outlineLevel="2">
      <c r="B119" s="33" t="s">
        <v>185</v>
      </c>
      <c r="C119" s="14" t="e">
        <f>IF(SUMSQ(#REF!)=0,"Hide","Show")</f>
        <v>#REF!</v>
      </c>
      <c r="D119" s="103">
        <v>0</v>
      </c>
    </row>
    <row r="120" spans="2:4" outlineLevel="2">
      <c r="B120" s="33"/>
      <c r="C120" s="43"/>
      <c r="D120" s="103"/>
    </row>
    <row r="121" spans="2:4">
      <c r="B121" s="35" t="s">
        <v>32</v>
      </c>
      <c r="C121" s="14" t="e">
        <f>IF(SUMSQ(#REF!)=0,"Hide","Show")</f>
        <v>#REF!</v>
      </c>
      <c r="D121" s="103">
        <v>17191.87</v>
      </c>
    </row>
    <row r="122" spans="2:4" outlineLevel="1">
      <c r="B122" s="34" t="s">
        <v>260</v>
      </c>
      <c r="C122" s="14" t="e">
        <f>IF(SUMSQ(#REF!)=0,"Hide","Show")</f>
        <v>#REF!</v>
      </c>
      <c r="D122" s="103">
        <v>17191.87</v>
      </c>
    </row>
    <row r="123" spans="2:4" outlineLevel="2">
      <c r="B123" s="33" t="s">
        <v>246</v>
      </c>
      <c r="C123" s="14" t="e">
        <f>IF(SUMSQ(#REF!)=0,"Hide","Show")</f>
        <v>#REF!</v>
      </c>
      <c r="D123" s="103">
        <v>0</v>
      </c>
    </row>
    <row r="124" spans="2:4" outlineLevel="2">
      <c r="B124" s="33" t="s">
        <v>248</v>
      </c>
      <c r="C124" s="14" t="e">
        <f>IF(SUMSQ(#REF!)=0,"Hide","Show")</f>
        <v>#REF!</v>
      </c>
      <c r="D124" s="103">
        <v>18929.349999999999</v>
      </c>
    </row>
    <row r="125" spans="2:4" outlineLevel="2">
      <c r="B125" s="33" t="s">
        <v>218</v>
      </c>
      <c r="C125" s="14" t="e">
        <f>IF(SUMSQ(#REF!)=0,"Hide","Show")</f>
        <v>#REF!</v>
      </c>
      <c r="D125" s="103">
        <v>0</v>
      </c>
    </row>
    <row r="126" spans="2:4" outlineLevel="2">
      <c r="B126" s="33" t="s">
        <v>223</v>
      </c>
      <c r="C126" s="14" t="e">
        <f>IF(SUMSQ(#REF!)=0,"Hide","Show")</f>
        <v>#REF!</v>
      </c>
      <c r="D126" s="103">
        <v>0</v>
      </c>
    </row>
    <row r="127" spans="2:4" outlineLevel="2">
      <c r="B127" s="33" t="s">
        <v>203</v>
      </c>
      <c r="C127" s="14" t="e">
        <f>IF(SUMSQ(#REF!)=0,"Hide","Show")</f>
        <v>#REF!</v>
      </c>
      <c r="D127" s="103">
        <v>-1737.48</v>
      </c>
    </row>
    <row r="128" spans="2:4" outlineLevel="2">
      <c r="B128" s="33" t="s">
        <v>239</v>
      </c>
      <c r="C128" s="14" t="e">
        <f>IF(SUMSQ(#REF!)=0,"Hide","Show")</f>
        <v>#REF!</v>
      </c>
      <c r="D128" s="103">
        <v>0</v>
      </c>
    </row>
    <row r="129" spans="2:4" outlineLevel="2">
      <c r="B129" s="33"/>
      <c r="C129" s="43"/>
      <c r="D129" s="103"/>
    </row>
    <row r="130" spans="2:4" outlineLevel="1">
      <c r="B130" s="34" t="s">
        <v>265</v>
      </c>
      <c r="C130" s="14" t="e">
        <f>IF(SUMSQ(#REF!)=0,"Hide","Show")</f>
        <v>#REF!</v>
      </c>
      <c r="D130" s="103">
        <v>0</v>
      </c>
    </row>
    <row r="131" spans="2:4" outlineLevel="2">
      <c r="B131" s="33" t="s">
        <v>254</v>
      </c>
      <c r="C131" s="14" t="e">
        <f>IF(SUMSQ(#REF!)=0,"Hide","Show")</f>
        <v>#REF!</v>
      </c>
      <c r="D131" s="103">
        <v>0</v>
      </c>
    </row>
    <row r="132" spans="2:4" outlineLevel="2">
      <c r="B132" s="33"/>
      <c r="C132" s="43"/>
      <c r="D132" s="103"/>
    </row>
    <row r="133" spans="2:4" outlineLevel="1">
      <c r="B133" s="33"/>
      <c r="C133" s="43"/>
      <c r="D133" s="103"/>
    </row>
    <row r="134" spans="2:4">
      <c r="B134" s="35" t="s">
        <v>33</v>
      </c>
      <c r="C134" s="14" t="e">
        <f>IF(SUMSQ(#REF!)=0,"Hide","Show")</f>
        <v>#REF!</v>
      </c>
      <c r="D134" s="103">
        <v>0</v>
      </c>
    </row>
    <row r="135" spans="2:4" outlineLevel="1">
      <c r="B135" s="34" t="s">
        <v>283</v>
      </c>
      <c r="C135" s="14" t="e">
        <f>IF(SUMSQ(#REF!)=0,"Hide","Show")</f>
        <v>#REF!</v>
      </c>
      <c r="D135" s="103">
        <v>0</v>
      </c>
    </row>
    <row r="136" spans="2:4" outlineLevel="2">
      <c r="B136" s="33" t="s">
        <v>273</v>
      </c>
      <c r="C136" s="14" t="e">
        <f>IF(SUMSQ(#REF!)=0,"Hide","Show")</f>
        <v>#REF!</v>
      </c>
      <c r="D136" s="103">
        <v>0</v>
      </c>
    </row>
    <row r="137" spans="2:4" outlineLevel="2">
      <c r="B137" s="33" t="s">
        <v>237</v>
      </c>
      <c r="C137" s="14" t="e">
        <f>IF(SUMSQ(#REF!)=0,"Hide","Show")</f>
        <v>#REF!</v>
      </c>
      <c r="D137" s="103">
        <v>0</v>
      </c>
    </row>
    <row r="138" spans="2:4" outlineLevel="2">
      <c r="B138" s="33"/>
      <c r="C138" s="43"/>
      <c r="D138" s="103"/>
    </row>
    <row r="139" spans="2:4" outlineLevel="1">
      <c r="B139" s="34" t="s">
        <v>179</v>
      </c>
      <c r="C139" s="14" t="e">
        <f>IF(SUMSQ(#REF!)=0,"Hide","Show")</f>
        <v>#REF!</v>
      </c>
      <c r="D139" s="103">
        <v>0</v>
      </c>
    </row>
    <row r="140" spans="2:4" outlineLevel="2">
      <c r="B140" s="33" t="s">
        <v>33</v>
      </c>
      <c r="C140" s="14" t="e">
        <f>IF(SUMSQ(#REF!)=0,"Hide","Show")</f>
        <v>#REF!</v>
      </c>
      <c r="D140" s="103">
        <v>0</v>
      </c>
    </row>
    <row r="141" spans="2:4" outlineLevel="2">
      <c r="B141" s="33" t="s">
        <v>180</v>
      </c>
      <c r="C141" s="14" t="e">
        <f>IF(SUMSQ(#REF!)=0,"Hide","Show")</f>
        <v>#REF!</v>
      </c>
      <c r="D141" s="103">
        <v>0</v>
      </c>
    </row>
    <row r="142" spans="2:4" outlineLevel="2">
      <c r="B142" s="33" t="s">
        <v>176</v>
      </c>
      <c r="C142" s="14" t="e">
        <f>IF(SUMSQ(#REF!)=0,"Hide","Show")</f>
        <v>#REF!</v>
      </c>
      <c r="D142" s="103">
        <v>0</v>
      </c>
    </row>
    <row r="143" spans="2:4" outlineLevel="2">
      <c r="B143" s="33" t="s">
        <v>187</v>
      </c>
      <c r="C143" s="14" t="e">
        <f>IF(SUMSQ(#REF!)=0,"Hide","Show")</f>
        <v>#REF!</v>
      </c>
      <c r="D143" s="103">
        <v>0</v>
      </c>
    </row>
    <row r="144" spans="2:4" outlineLevel="2">
      <c r="B144" s="33" t="s">
        <v>198</v>
      </c>
      <c r="C144" s="14" t="e">
        <f>IF(SUMSQ(#REF!)=0,"Hide","Show")</f>
        <v>#REF!</v>
      </c>
      <c r="D144" s="103">
        <v>0</v>
      </c>
    </row>
    <row r="145" spans="1:4" outlineLevel="2">
      <c r="B145" s="33"/>
      <c r="C145" s="14"/>
      <c r="D145" s="103"/>
    </row>
    <row r="146" spans="1:4" outlineLevel="1">
      <c r="A146" s="48" t="s">
        <v>23</v>
      </c>
      <c r="B146" s="33" t="s">
        <v>120</v>
      </c>
      <c r="C146" s="14" t="e">
        <f>IF(SUMSQ(#REF!)=0,"Hide","Show")</f>
        <v>#REF!</v>
      </c>
      <c r="D146" s="103">
        <v>0</v>
      </c>
    </row>
    <row r="147" spans="1:4" outlineLevel="1">
      <c r="B147" s="33"/>
      <c r="C147" s="14"/>
      <c r="D147" s="103"/>
    </row>
    <row r="148" spans="1:4">
      <c r="B148" s="35" t="s">
        <v>34</v>
      </c>
      <c r="C148" s="14" t="e">
        <f>IF(SUMSQ(#REF!)=0,"Hide","Show")</f>
        <v>#REF!</v>
      </c>
      <c r="D148" s="103">
        <v>0</v>
      </c>
    </row>
    <row r="149" spans="1:4" outlineLevel="1">
      <c r="B149" s="34" t="s">
        <v>184</v>
      </c>
      <c r="C149" s="14" t="e">
        <f>IF(SUMSQ(#REF!)=0,"Hide","Show")</f>
        <v>#REF!</v>
      </c>
      <c r="D149" s="103">
        <v>0</v>
      </c>
    </row>
    <row r="150" spans="1:4" outlineLevel="2">
      <c r="B150" s="33" t="s">
        <v>284</v>
      </c>
      <c r="C150" s="14" t="e">
        <f>IF(SUMSQ(#REF!)=0,"Hide","Show")</f>
        <v>#REF!</v>
      </c>
      <c r="D150" s="103">
        <v>0</v>
      </c>
    </row>
    <row r="151" spans="1:4" outlineLevel="2">
      <c r="B151" s="33"/>
      <c r="C151" s="43"/>
      <c r="D151" s="103"/>
    </row>
    <row r="152" spans="1:4" outlineLevel="1">
      <c r="B152" s="34" t="s">
        <v>175</v>
      </c>
      <c r="C152" s="14" t="e">
        <f>IF(SUMSQ(#REF!)=0,"Hide","Show")</f>
        <v>#REF!</v>
      </c>
      <c r="D152" s="103">
        <v>0</v>
      </c>
    </row>
    <row r="153" spans="1:4" outlineLevel="2">
      <c r="B153" s="33"/>
      <c r="C153" s="14"/>
      <c r="D153" s="109"/>
    </row>
    <row r="154" spans="1:4" outlineLevel="2">
      <c r="B154" s="33"/>
      <c r="C154" s="43"/>
      <c r="D154" s="103"/>
    </row>
    <row r="155" spans="1:4" outlineLevel="1">
      <c r="B155" s="33"/>
      <c r="C155" s="43"/>
      <c r="D155" s="103"/>
    </row>
    <row r="156" spans="1:4">
      <c r="B156" s="35" t="s">
        <v>35</v>
      </c>
      <c r="C156" s="14" t="e">
        <f>IF(SUMSQ(#REF!)=0,"Hide","Show")</f>
        <v>#REF!</v>
      </c>
      <c r="D156" s="103">
        <v>0</v>
      </c>
    </row>
    <row r="157" spans="1:4" outlineLevel="1">
      <c r="B157" s="34" t="s">
        <v>35</v>
      </c>
      <c r="C157" s="14" t="e">
        <f>IF(SUMSQ(#REF!)=0,"Hide","Show")</f>
        <v>#REF!</v>
      </c>
      <c r="D157" s="103">
        <v>0</v>
      </c>
    </row>
    <row r="158" spans="1:4" outlineLevel="2">
      <c r="B158" s="33" t="s">
        <v>251</v>
      </c>
      <c r="C158" s="14" t="e">
        <f>IF(SUMSQ(#REF!)=0,"Hide","Show")</f>
        <v>#REF!</v>
      </c>
      <c r="D158" s="103">
        <v>0</v>
      </c>
    </row>
    <row r="159" spans="1:4" outlineLevel="2">
      <c r="B159" s="33"/>
      <c r="C159" s="43"/>
      <c r="D159" s="103"/>
    </row>
    <row r="160" spans="1:4" outlineLevel="1">
      <c r="B160" s="34" t="s">
        <v>194</v>
      </c>
      <c r="C160" s="14" t="e">
        <f>IF(SUMSQ(#REF!)=0,"Hide","Show")</f>
        <v>#REF!</v>
      </c>
      <c r="D160" s="103">
        <v>0</v>
      </c>
    </row>
    <row r="161" spans="2:4" outlineLevel="2">
      <c r="B161" s="33"/>
      <c r="C161" s="14"/>
      <c r="D161" s="109"/>
    </row>
    <row r="162" spans="2:4" outlineLevel="2">
      <c r="B162" s="33"/>
      <c r="C162" s="43"/>
      <c r="D162" s="103"/>
    </row>
    <row r="163" spans="2:4" outlineLevel="1">
      <c r="B163" s="33"/>
      <c r="C163" s="43"/>
      <c r="D163" s="103"/>
    </row>
    <row r="164" spans="2:4">
      <c r="B164" s="35" t="s">
        <v>263</v>
      </c>
      <c r="C164" s="14" t="e">
        <f>IF(SUMSQ(#REF!)=0,"Hide","Show")</f>
        <v>#REF!</v>
      </c>
      <c r="D164" s="103">
        <v>0</v>
      </c>
    </row>
    <row r="165" spans="2:4" outlineLevel="1">
      <c r="B165" s="33" t="s">
        <v>242</v>
      </c>
      <c r="C165" s="14" t="e">
        <f>IF(SUMSQ(#REF!)=0,"Hide","Show")</f>
        <v>#REF!</v>
      </c>
      <c r="D165" s="103">
        <v>0</v>
      </c>
    </row>
    <row r="166" spans="2:4" outlineLevel="1">
      <c r="B166" s="33"/>
      <c r="C166" s="43"/>
      <c r="D166" s="103"/>
    </row>
    <row r="167" spans="2:4">
      <c r="B167" s="35" t="s">
        <v>244</v>
      </c>
      <c r="C167" s="14" t="e">
        <f>IF(SUMSQ(#REF!)=0,"Hide","Show")</f>
        <v>#REF!</v>
      </c>
      <c r="D167" s="103">
        <v>158669.01999999999</v>
      </c>
    </row>
    <row r="168" spans="2:4" outlineLevel="1">
      <c r="B168" s="33" t="s">
        <v>222</v>
      </c>
      <c r="C168" s="14" t="e">
        <f>IF(SUMSQ(#REF!)=0,"Hide","Show")</f>
        <v>#REF!</v>
      </c>
      <c r="D168" s="103">
        <v>158669.01999999999</v>
      </c>
    </row>
    <row r="169" spans="2:4" outlineLevel="1">
      <c r="B169" s="33"/>
      <c r="C169" s="43"/>
      <c r="D169" s="103"/>
    </row>
    <row r="170" spans="2:4">
      <c r="B170" s="35" t="s">
        <v>216</v>
      </c>
      <c r="C170" s="14" t="e">
        <f>IF(SUMSQ(#REF!)=0,"Hide","Show")</f>
        <v>#REF!</v>
      </c>
      <c r="D170" s="103">
        <v>0</v>
      </c>
    </row>
    <row r="171" spans="2:4" outlineLevel="1">
      <c r="B171" s="34" t="s">
        <v>275</v>
      </c>
      <c r="C171" s="14" t="e">
        <f>IF(SUMSQ(#REF!)=0,"Hide","Show")</f>
        <v>#REF!</v>
      </c>
      <c r="D171" s="103">
        <v>0</v>
      </c>
    </row>
    <row r="172" spans="2:4" outlineLevel="1">
      <c r="B172" s="34" t="s">
        <v>204</v>
      </c>
      <c r="C172" s="14" t="e">
        <f>IF(SUMSQ(#REF!)=0,"Hide","Show")</f>
        <v>#REF!</v>
      </c>
      <c r="D172" s="103">
        <v>0</v>
      </c>
    </row>
    <row r="173" spans="2:4" outlineLevel="1">
      <c r="B173" s="34"/>
      <c r="C173" s="72"/>
      <c r="D173" s="103"/>
    </row>
    <row r="174" spans="2:4">
      <c r="B174" s="35" t="s">
        <v>230</v>
      </c>
      <c r="C174" s="14" t="e">
        <f>IF(SUMSQ(#REF!)=0,"Hide","Show")</f>
        <v>#REF!</v>
      </c>
      <c r="D174" s="103">
        <v>0</v>
      </c>
    </row>
    <row r="175" spans="2:4" outlineLevel="1">
      <c r="B175" s="34" t="s">
        <v>186</v>
      </c>
      <c r="C175" s="14" t="e">
        <f>IF(SUMSQ(#REF!)=0,"Hide","Show")</f>
        <v>#REF!</v>
      </c>
      <c r="D175" s="103">
        <v>0</v>
      </c>
    </row>
    <row r="176" spans="2:4" outlineLevel="1">
      <c r="B176" s="34" t="s">
        <v>233</v>
      </c>
      <c r="C176" s="14" t="e">
        <f>IF(SUMSQ(#REF!)=0,"Hide","Show")</f>
        <v>#REF!</v>
      </c>
      <c r="D176" s="103">
        <v>0</v>
      </c>
    </row>
    <row r="177" spans="2:4">
      <c r="B177" s="33"/>
      <c r="C177" s="43"/>
      <c r="D177" s="103"/>
    </row>
    <row r="178" spans="2:4">
      <c r="B178" s="70" t="s">
        <v>36</v>
      </c>
      <c r="C178" s="72"/>
      <c r="D178" s="105">
        <v>571.80999999996857</v>
      </c>
    </row>
    <row r="179" spans="2:4">
      <c r="B179" s="34" t="s">
        <v>285</v>
      </c>
      <c r="C179" s="14" t="e">
        <f>IF(SUMSQ(#REF!)=0,"Hide","Show")</f>
        <v>#REF!</v>
      </c>
      <c r="D179" s="103">
        <v>17862.759999999998</v>
      </c>
    </row>
    <row r="180" spans="2:4">
      <c r="B180" s="70" t="s">
        <v>37</v>
      </c>
      <c r="C180" s="72"/>
      <c r="D180" s="106">
        <v>18434.569999999967</v>
      </c>
    </row>
    <row r="181" spans="2:4">
      <c r="B181" s="1"/>
      <c r="D181" s="82"/>
    </row>
    <row r="182" spans="2:4">
      <c r="B182" s="1" t="s">
        <v>38</v>
      </c>
      <c r="D182" s="82">
        <v>0</v>
      </c>
    </row>
    <row r="183" spans="2:4" ht="15.75" thickBot="1">
      <c r="B183" s="71" t="s">
        <v>39</v>
      </c>
      <c r="C183" s="72"/>
      <c r="D183" s="107">
        <v>18434.569999999967</v>
      </c>
    </row>
    <row r="184" spans="2:4" ht="15.75" thickTop="1">
      <c r="B184" s="1"/>
      <c r="D184" s="82"/>
    </row>
    <row r="185" spans="2:4" outlineLevel="1">
      <c r="B185" s="27" t="s">
        <v>40</v>
      </c>
      <c r="C185" s="77"/>
      <c r="D185" s="85">
        <v>18434.570000000302</v>
      </c>
    </row>
    <row r="186" spans="2:4" outlineLevel="1">
      <c r="B186" s="64" t="s">
        <v>21</v>
      </c>
      <c r="C186" s="76"/>
      <c r="D186" s="80">
        <v>-3.3469405025243759E-10</v>
      </c>
    </row>
    <row r="187" spans="2:4">
      <c r="B187" s="1"/>
      <c r="D187" s="79"/>
    </row>
    <row r="188" spans="2:4">
      <c r="D188" s="79"/>
    </row>
    <row r="189" spans="2:4">
      <c r="D189" s="79"/>
    </row>
    <row r="190" spans="2:4">
      <c r="D190" s="79"/>
    </row>
    <row r="191" spans="2:4">
      <c r="D191" s="79"/>
    </row>
    <row r="192" spans="2:4">
      <c r="D192" s="79"/>
    </row>
    <row r="193" spans="4:4">
      <c r="D193" s="79"/>
    </row>
    <row r="194" spans="4:4">
      <c r="D194" s="79"/>
    </row>
    <row r="195" spans="4:4">
      <c r="D195" s="79"/>
    </row>
    <row r="196" spans="4:4">
      <c r="D196" s="79"/>
    </row>
    <row r="197" spans="4:4">
      <c r="D197" s="79"/>
    </row>
    <row r="198" spans="4:4">
      <c r="D198" s="79"/>
    </row>
    <row r="199" spans="4:4">
      <c r="D199" s="15"/>
    </row>
    <row r="200" spans="4:4">
      <c r="D200" s="15"/>
    </row>
    <row r="201" spans="4:4">
      <c r="D201" s="15"/>
    </row>
    <row r="202" spans="4:4">
      <c r="D202" s="15"/>
    </row>
    <row r="203" spans="4:4">
      <c r="D203" s="15"/>
    </row>
    <row r="204" spans="4:4">
      <c r="D204" s="15"/>
    </row>
    <row r="205" spans="4:4">
      <c r="D205" s="15"/>
    </row>
    <row r="206" spans="4:4">
      <c r="D206" s="15"/>
    </row>
    <row r="207" spans="4:4">
      <c r="D207" s="15"/>
    </row>
    <row r="208" spans="4:4">
      <c r="D208" s="15"/>
    </row>
    <row r="209" spans="4:4">
      <c r="D209" s="15"/>
    </row>
    <row r="210" spans="4:4">
      <c r="D210" s="15"/>
    </row>
    <row r="211" spans="4:4">
      <c r="D211" s="15"/>
    </row>
    <row r="212" spans="4:4">
      <c r="D212" s="15"/>
    </row>
    <row r="213" spans="4:4">
      <c r="D213" s="15"/>
    </row>
    <row r="214" spans="4:4">
      <c r="D214" s="15"/>
    </row>
    <row r="215" spans="4:4">
      <c r="D215" s="15"/>
    </row>
    <row r="216" spans="4:4">
      <c r="D216" s="15"/>
    </row>
  </sheetData>
  <autoFilter ref="B12:D180" xr:uid="{D3969150-5B32-44B0-B72F-A981CEB80778}">
    <filterColumn colId="1">
      <filters blank="1">
        <filter val="Show"/>
      </filters>
    </filterColumn>
  </autoFilter>
  <dataValidations count="2">
    <dataValidation type="list" errorStyle="information" operator="equal" allowBlank="1" showInputMessage="1" sqref="B27:B28 B63 B154:B156 B88 B145 B147:B148 B85 B83 B98 B52 B20 B61 B129 B33 B162:B163 B132:B134 B93 C14:C177 C179 B104:B105 B138 B151 B177 B59 B17 B22 B40 B101 B79 B15 B120:B121 B159 B55 B169 B173 B166 B25 B48 B115 B186:D186 D13 D83 D166 D48 D101 D61:D65 D33 D138 D40 D88 D145 D129 D132:D134 D20:D22 D104:D107 D59 D162:D163 D85 D159 D79 D169 D120:D121 D98 D173 D154:D156 D15:D17 D55 D93 D147:D148 D151 D25:D29 D52 D115 D177" xr:uid="{A5B0A6F6-AF90-4EFB-A29A-436D7D9FC67A}">
      <formula1>"6739674C-F41D-4F0B-8A6E-DBB970089451"</formula1>
    </dataValidation>
    <dataValidation type="list" errorStyle="information" operator="equal" allowBlank="1" showInputMessage="1" sqref="C1:C10 B6:B10" xr:uid="{5E2BCA31-15D4-4FD2-A82D-97019A36FF07}">
      <formula1>"C62927B5-C25E-475A-98EB-2AC6107D48B4"</formula1>
    </dataValidation>
  </dataValidations>
  <pageMargins left="0.7" right="0.7" top="0.75" bottom="0.75" header="0.3" footer="0.3"/>
  <customProperties>
    <customPr name="isReportSheetChang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F6D4-2A4C-465D-88D9-A7487747768C}">
  <dimension ref="B2:F4"/>
  <sheetViews>
    <sheetView workbookViewId="0"/>
  </sheetViews>
  <sheetFormatPr defaultRowHeight="15"/>
  <cols>
    <col min="2" max="2" width="16.7109375" customWidth="1"/>
    <col min="3" max="3" width="39.42578125" customWidth="1"/>
    <col min="4" max="5" width="17" customWidth="1"/>
    <col min="6" max="6" width="27.140625" customWidth="1"/>
  </cols>
  <sheetData>
    <row r="2" spans="2:6">
      <c r="B2" t="s">
        <v>41</v>
      </c>
      <c r="C2" t="s">
        <v>4</v>
      </c>
      <c r="D2" t="s">
        <v>42</v>
      </c>
      <c r="E2" t="s">
        <v>4</v>
      </c>
      <c r="F2" t="s">
        <v>43</v>
      </c>
    </row>
    <row r="3" spans="2:6">
      <c r="B3" t="s">
        <v>44</v>
      </c>
      <c r="C3" t="s">
        <v>45</v>
      </c>
      <c r="D3" t="s">
        <v>46</v>
      </c>
      <c r="F3" t="s">
        <v>47</v>
      </c>
    </row>
    <row r="4" spans="2:6">
      <c r="B4" t="s">
        <v>44</v>
      </c>
      <c r="C4" t="s">
        <v>48</v>
      </c>
      <c r="D4" t="s">
        <v>49</v>
      </c>
      <c r="F4" t="s">
        <v>50</v>
      </c>
    </row>
  </sheetData>
  <pageMargins left="0.7" right="0.7" top="0.75" bottom="0.75" header="0.3" footer="0.3"/>
  <customProperties>
    <customPr name="isReportSheetChange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595572-ed96-4f68-bcb3-6d348b810855" xsi:nil="true"/>
    <lcf76f155ced4ddcb4097134ff3c332f xmlns="23e3514b-503f-4c65-827f-dd76dfdffec8">
      <Terms xmlns="http://schemas.microsoft.com/office/infopath/2007/PartnerControls"/>
    </lcf76f155ced4ddcb4097134ff3c332f>
    <Document_x0020_Type xmlns="23e3514b-503f-4c65-827f-dd76dfdffec8" xsi:nil="true"/>
    <Process xmlns="23e3514b-503f-4c65-827f-dd76dfdffec8" xsi:nil="true"/>
    <Business_x0020_Area xmlns="23e3514b-503f-4c65-827f-dd76dfdffe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D1D94819961A49B16F77ED9752B2F0" ma:contentTypeVersion="19" ma:contentTypeDescription="Create a new document." ma:contentTypeScope="" ma:versionID="0f5a305574654cafb3887ea6014966f7">
  <xsd:schema xmlns:xsd="http://www.w3.org/2001/XMLSchema" xmlns:xs="http://www.w3.org/2001/XMLSchema" xmlns:p="http://schemas.microsoft.com/office/2006/metadata/properties" xmlns:ns2="23e3514b-503f-4c65-827f-dd76dfdffec8" xmlns:ns3="7b595572-ed96-4f68-bcb3-6d348b810855" targetNamespace="http://schemas.microsoft.com/office/2006/metadata/properties" ma:root="true" ma:fieldsID="05b2308c399756746beafd18c6baf90e" ns2:_="" ns3:_="">
    <xsd:import namespace="23e3514b-503f-4c65-827f-dd76dfdffec8"/>
    <xsd:import namespace="7b595572-ed96-4f68-bcb3-6d348b810855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Process" minOccurs="0"/>
                <xsd:element ref="ns2:Business_x0020_Area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3514b-503f-4c65-827f-dd76dfdffec8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format="Dropdown" ma:internalName="Document_x0020_Type">
      <xsd:simpleType>
        <xsd:restriction base="dms:Choice">
          <xsd:enumeration value="Agreement"/>
          <xsd:enumeration value="CER"/>
          <xsd:enumeration value="Client info"/>
          <xsd:enumeration value="Data"/>
          <xsd:enumeration value="ERF Application"/>
          <xsd:enumeration value="ERF Audit Schedule"/>
          <xsd:enumeration value="ERF Report"/>
          <xsd:enumeration value="Financial / Budget"/>
          <xsd:enumeration value="Invoice"/>
          <xsd:enumeration value="Other"/>
          <xsd:enumeration value="Policy"/>
          <xsd:enumeration value="Presentation"/>
          <xsd:enumeration value="Proposal"/>
          <xsd:enumeration value="Quote"/>
          <xsd:enumeration value="Reference"/>
          <xsd:enumeration value="Report"/>
          <xsd:enumeration value="SOP"/>
          <xsd:enumeration value="Staff File"/>
          <xsd:enumeration value="Tool"/>
          <xsd:enumeration value="Working File"/>
        </xsd:restriction>
      </xsd:simpleType>
    </xsd:element>
    <xsd:element name="Process" ma:index="9" nillable="true" ma:displayName="Process" ma:format="Dropdown" ma:internalName="Process">
      <xsd:simpleType>
        <xsd:restriction base="dms:Choice">
          <xsd:enumeration value="TBD post-migration"/>
        </xsd:restriction>
      </xsd:simpleType>
    </xsd:element>
    <xsd:element name="Business_x0020_Area" ma:index="10" nillable="true" ma:displayName="Business Area" ma:format="Dropdown" ma:internalName="Business_x0020_Area">
      <xsd:simpleType>
        <xsd:restriction base="dms:Choice">
          <xsd:enumeration value="Agribusiness"/>
          <xsd:enumeration value="AspiraDAC"/>
          <xsd:enumeration value="Board"/>
          <xsd:enumeration value="Business Operations"/>
          <xsd:enumeration value="Decarbonisation"/>
          <xsd:enumeration value="Finance &amp; Strategy"/>
          <xsd:enumeration value="Maki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ac2beac-4731-49a6-8bfe-aa826acef3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95572-ed96-4f68-bcb3-6d348b81085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43ff79-f07b-45f2-971e-31dee8387b9c}" ma:internalName="TaxCatchAll" ma:showField="CatchAllData" ma:web="7b595572-ed96-4f68-bcb3-6d348b8108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37916B-9830-4510-AB20-425B16A3E822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7b595572-ed96-4f68-bcb3-6d348b810855"/>
    <ds:schemaRef ds:uri="23e3514b-503f-4c65-827f-dd76dfdffec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025A65B-5ADB-4F7A-8464-390A606E89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C0E7A8-46B6-4B63-A664-E5AA189038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e3514b-503f-4c65-827f-dd76dfdffec8"/>
    <ds:schemaRef ds:uri="7b595572-ed96-4f68-bcb3-6d348b8108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Consol PL</vt:lpstr>
      <vt:lpstr>Consol BS</vt:lpstr>
      <vt:lpstr>Consol CFS</vt:lpstr>
      <vt:lpstr>IC transaction list</vt:lpstr>
      <vt:lpstr>PL_data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 Manyumwa</dc:creator>
  <cp:keywords/>
  <dc:description/>
  <cp:lastModifiedBy>Diana King</cp:lastModifiedBy>
  <cp:revision/>
  <dcterms:created xsi:type="dcterms:W3CDTF">2025-03-26T10:21:32Z</dcterms:created>
  <dcterms:modified xsi:type="dcterms:W3CDTF">2025-11-16T04:32:36Z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0x01010089D1D94819961A49B16F77ED9752B2F0</vt:lpwstr>
  </property>
  <property fmtid="{D5CDD505-2E9C-101B-9397-08002B2CF9AE}" pid="3" name="MediaServiceImageTags">
    <vt:lpwstr/>
  </property>
</Properties>
</file>